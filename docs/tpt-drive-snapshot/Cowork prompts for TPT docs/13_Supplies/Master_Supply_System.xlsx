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VIEW_Q1" sheetId="3" state="visible" r:id="rId3"/>
    <sheet xmlns:r="http://schemas.openxmlformats.org/officeDocument/2006/relationships" name="VIEW_Q2" sheetId="4" state="visible" r:id="rId4"/>
    <sheet xmlns:r="http://schemas.openxmlformats.org/officeDocument/2006/relationships" name="VIEW_Q3" sheetId="5" state="visible" r:id="rId5"/>
    <sheet xmlns:r="http://schemas.openxmlformats.org/officeDocument/2006/relationships" name="VIEW_Q4" sheetId="6" state="visible" r:id="rId6"/>
    <sheet xmlns:r="http://schemas.openxmlformats.org/officeDocument/2006/relationships" name="VIEW_FULL_YEAR" sheetId="7" state="visible" r:id="rId7"/>
    <sheet xmlns:r="http://schemas.openxmlformats.org/officeDocument/2006/relationships" name="COSTS" sheetId="8" state="visible" r:id="rId8"/>
  </sheets>
  <definedNames>
    <definedName name="_xlnm._FilterDatabase" localSheetId="1" hidden="1">'MASTER'!$A$1:$Q$81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4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i val="1"/>
      <color rgb="FF555555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55555"/>
      <sz val="9"/>
    </font>
  </fonts>
  <fills count="4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B2C"/>
        <bgColor rgb="FF3333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/>
    </xf>
    <xf numFmtId="164" fontId="5" fillId="0" borderId="1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7" fillId="3" borderId="0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/>
    </xf>
    <xf numFmtId="164" fontId="5" fillId="0" borderId="1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B2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8" customWidth="1" style="13" min="1" max="1"/>
  </cols>
  <sheetData>
    <row r="1" ht="17.35" customHeight="1" s="14">
      <c r="A1" s="15" t="inlineStr">
        <is>
          <t>MASTER SUPPLY SYSTEM — Answerable Biology</t>
        </is>
      </c>
    </row>
    <row r="2" ht="15" customHeight="1" s="14">
      <c r="A2" s="16" t="n"/>
    </row>
    <row r="3" ht="23.85" customHeight="1" s="14">
      <c r="A3" s="16" t="inlineStr">
        <is>
          <t>One list. The MASTER sheet is the only place data lives. The quarter views, the Full Year view, and the COSTS sheet are formulas that read MASTER — they are never edited and never get out of date. Never maintain a second list.</t>
        </is>
      </c>
    </row>
    <row r="4" ht="15" customHeight="1" s="14">
      <c r="A4" s="16" t="n"/>
    </row>
    <row r="5" ht="15" customHeight="1" s="14">
      <c r="A5" s="17" t="inlineStr">
        <is>
          <t>HOW TO USE IT</t>
        </is>
      </c>
    </row>
    <row r="6" ht="23.85" customHeight="1" s="14">
      <c r="A6" s="16" t="inlineStr">
        <is>
          <t>1. Edit only the MASTER sheet. The blue cells (Groups per class, Number of classes) are yours to change; Total needed and every view recalculate.</t>
        </is>
      </c>
    </row>
    <row r="7" ht="15" customHeight="1" s="14">
      <c r="A7" s="16" t="inlineStr">
        <is>
          <t>2. Groups per class defaults to 8; Number of classes defaults to 3. Change them once per row — or select a column and paste your numbers.</t>
        </is>
      </c>
    </row>
    <row r="8" ht="23.85" customHeight="1" s="14">
      <c r="A8" s="16" t="inlineStr">
        <is>
          <t>3. Reusable rows have Number of classes set to 1 on purpose: one physical set (goggles, lamps, card sets) serves every class. Consumable rows multiply by your class count because each class uses them up.</t>
        </is>
      </c>
    </row>
    <row r="9" ht="15" customHeight="1" s="14">
      <c r="A9" s="16" t="inlineStr">
        <is>
          <t>4. Rows marked 'per class' (fish demo, baking soda, pH solutions) have Groups per class set to 1 — the quantity is per class, not per group.</t>
        </is>
      </c>
    </row>
    <row r="10" ht="23.85" customHeight="1" s="14">
      <c r="A10" s="16" t="inlineStr">
        <is>
          <t>5. Handout rows assume 4 students per group (Qty per group = 4 means 1 per student at 8 groups × 4 = 32 students). REVIEW WITH KATHERINE.</t>
        </is>
      </c>
    </row>
    <row r="11" ht="23.85" customHeight="1" s="14">
      <c r="A11" s="16" t="inlineStr">
        <is>
          <t>6. If you add a row to MASTER, add it at the bottom of its quarter block and extend that quarter's view down one row (copy the last formula row). Or just work from MASTER — it is sorted by cycle already.</t>
        </is>
      </c>
    </row>
    <row r="12" ht="15" customHeight="1" s="14">
      <c r="A12" s="16" t="n"/>
    </row>
    <row r="13" ht="15" customHeight="1" s="14">
      <c r="A13" s="17" t="inlineStr">
        <is>
          <t>ASSUMPTIONS AND FLAGS</t>
        </is>
      </c>
    </row>
    <row r="14" ht="23.85" customHeight="1" s="14">
      <c r="A14" s="18" t="inlineStr">
        <is>
          <t>Quarter mapping assumed: Q1 = Cycles 1–5, Q2 = Cycles 6–10, Q3 = Cycles 11–15, Q4 = Cycles 16–20. This is the build's assumption, not Katherine's — cycles are flexible by design, and Cycle 16 (four decks) may land earlier or later in a real year — REVIEW WITH KATHERINE.</t>
        </is>
      </c>
    </row>
    <row r="15" ht="23.85" customHeight="1" s="14">
      <c r="A15" s="16" t="inlineStr">
        <is>
          <t>Costs are rough purchase estimates for the quantity in the Total column, not quotes — REVIEW WITH KATHERINE. $0 means school copier, school-provided, borrowed, or tap water.</t>
        </is>
      </c>
    </row>
    <row r="16" ht="15" customHeight="1" s="14">
      <c r="A16" s="16" t="inlineStr">
        <is>
          <t>Store links are placeholders (LINK NEEDED) except where the source deck carries a real URL.</t>
        </is>
      </c>
    </row>
    <row r="17" ht="23.85" customHeight="1" s="14">
      <c r="A17" s="16" t="inlineStr">
        <is>
          <t>Rows carry the build's standard flags inline where they apply: REVIEW WITH KATHERINE · SOURCE NOT YET LOCATED · GAP — NOT IN SOURCE NOTES · LINK NEEDED · RIGHTS REVIEW NEEDED.</t>
        </is>
      </c>
    </row>
    <row r="18" ht="15" customHeight="1" s="14">
      <c r="A18" s="16" t="n"/>
    </row>
    <row r="19" ht="15" customHeight="1" s="14">
      <c r="A19" s="17" t="inlineStr">
        <is>
          <t>SHEETS</t>
        </is>
      </c>
    </row>
    <row r="20" ht="23.85" customHeight="1" s="14">
      <c r="A20" s="16" t="inlineStr">
        <is>
          <t>MASTER — the one data table (edit here). VIEW_Q1..Q4 — what to gather per quarter (formulas). VIEW_FULL_YEAR — the whole year (formulas). COSTS — initial reusable setup, recurring consumables, annual totals (formulas).</t>
        </is>
      </c>
    </row>
    <row r="21" ht="15" customHeight="1" s="14">
      <c r="A21" s="16" t="n"/>
    </row>
    <row r="22" ht="23.85" customHeight="1" s="14">
      <c r="A22" s="16" t="inlineStr">
        <is>
          <t>Legend: blue text = cells you edit. Everything else on MASTER is data you may correct; everything on the views and COSTS is formula — leave it alone.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30" customWidth="1" style="13" min="2" max="2"/>
    <col width="7" customWidth="1" style="13" min="3" max="3"/>
    <col width="32" customWidth="1" style="13" min="4" max="4"/>
    <col width="34" customWidth="1" style="13" min="5" max="5"/>
    <col width="42" customWidth="1" style="13" min="6" max="6"/>
    <col width="9" customWidth="1" style="13" min="7" max="10"/>
    <col width="13" customWidth="1" style="13" min="11" max="11"/>
    <col width="52" customWidth="1" style="13" min="12" max="12"/>
    <col width="26" customWidth="1" style="13" min="13" max="13"/>
    <col width="40" customWidth="1" style="13" min="14" max="14"/>
    <col width="11" customWidth="1" style="13" min="15" max="15"/>
    <col width="34" customWidth="1" style="13" min="16" max="16"/>
    <col width="44" customWidth="1" style="13" min="17" max="17"/>
  </cols>
  <sheetData>
    <row r="1" ht="30" customHeight="1" s="14">
      <c r="A1" s="19" t="inlineStr">
        <is>
          <t>Quarter (bundle)</t>
        </is>
      </c>
      <c r="B1" s="19" t="inlineStr">
        <is>
          <t>Unit</t>
        </is>
      </c>
      <c r="C1" s="19" t="inlineStr">
        <is>
          <t>Cycle</t>
        </is>
      </c>
      <c r="D1" s="19" t="inlineStr">
        <is>
          <t>Lesson / deck</t>
        </is>
      </c>
      <c r="E1" s="19" t="inlineStr">
        <is>
          <t>Activity</t>
        </is>
      </c>
      <c r="F1" s="19" t="inlineStr">
        <is>
          <t>Supply</t>
        </is>
      </c>
      <c r="G1" s="19" t="inlineStr">
        <is>
          <t>Qty per group</t>
        </is>
      </c>
      <c r="H1" s="19" t="inlineStr">
        <is>
          <t>Groups per class</t>
        </is>
      </c>
      <c r="I1" s="19" t="inlineStr">
        <is>
          <t>Number of classes</t>
        </is>
      </c>
      <c r="J1" s="19" t="inlineStr">
        <is>
          <t>Total needed</t>
        </is>
      </c>
      <c r="K1" s="19" t="inlineStr">
        <is>
          <t>Reusable / Consumable</t>
        </is>
      </c>
      <c r="L1" s="19" t="inlineStr">
        <is>
          <t>Preparation</t>
        </is>
      </c>
      <c r="M1" s="19" t="inlineStr">
        <is>
          <t>Storage</t>
        </is>
      </c>
      <c r="N1" s="19" t="inlineStr">
        <is>
          <t>Safety</t>
        </is>
      </c>
      <c r="O1" s="19" t="inlineStr">
        <is>
          <t>Approx cost (USD)</t>
        </is>
      </c>
      <c r="P1" s="19" t="inlineStr">
        <is>
          <t>Substitute</t>
        </is>
      </c>
      <c r="Q1" s="19" t="inlineStr">
        <is>
          <t>Store / purchasing link</t>
        </is>
      </c>
    </row>
    <row r="2" ht="23.85" customHeight="1" s="14">
      <c r="A2" s="20" t="inlineStr">
        <is>
          <t>Q1</t>
        </is>
      </c>
      <c r="B2" s="21" t="inlineStr">
        <is>
          <t>Classifying Organisms (opening deck of the ecology arc)</t>
        </is>
      </c>
      <c r="C2" s="20" t="n">
        <v>1</v>
      </c>
      <c r="D2" s="21" t="inlineStr">
        <is>
          <t>Classifying_Organisms_with_VT_inserts (legacy)</t>
        </is>
      </c>
      <c r="E2" s="21" t="inlineStr">
        <is>
          <t>Linnaean cup sort (lab stations)</t>
        </is>
      </c>
      <c r="F2" s="21" t="inlineStr">
        <is>
          <t>Plastic cups labeled with the 7 classification levels</t>
        </is>
      </c>
      <c r="G2" s="20" t="n">
        <v>7</v>
      </c>
      <c r="H2" s="22" t="n">
        <v>8</v>
      </c>
      <c r="I2" s="22" t="n">
        <v>1</v>
      </c>
      <c r="J2" s="20">
        <f>G2*H2*I2</f>
        <v/>
      </c>
      <c r="K2" s="20" t="inlineStr">
        <is>
          <t>Reusable</t>
        </is>
      </c>
      <c r="L2" s="21" t="inlineStr">
        <is>
          <t>Write one level per cup (or tape printed labels); rubber-band each set of 7. One class set serves all classes and future years.</t>
        </is>
      </c>
      <c r="M2" s="21" t="inlineStr">
        <is>
          <t>Rubber-banded sets in one labeled bin: Cycle 01</t>
        </is>
      </c>
      <c r="N2" s="21" t="inlineStr">
        <is>
          <t>—</t>
        </is>
      </c>
      <c r="O2" s="23" t="n">
        <v>8</v>
      </c>
      <c r="P2" s="21" t="inlineStr">
        <is>
          <t>Index cards or paper strips in an envelope</t>
        </is>
      </c>
      <c r="Q2" s="21" t="inlineStr">
        <is>
          <t>LINK NEEDED (dollar store / grocery)</t>
        </is>
      </c>
    </row>
    <row r="3" ht="23.85" customHeight="1" s="14">
      <c r="A3" s="20" t="inlineStr">
        <is>
          <t>Q1</t>
        </is>
      </c>
      <c r="B3" s="21" t="inlineStr">
        <is>
          <t>Classifying Organisms (opening deck of the ecology arc)</t>
        </is>
      </c>
      <c r="C3" s="20" t="n">
        <v>1</v>
      </c>
      <c r="D3" s="21" t="inlineStr">
        <is>
          <t>Classifying_Organisms_with_VT_inserts (legacy)</t>
        </is>
      </c>
      <c r="E3" s="21" t="inlineStr">
        <is>
          <t>'What's in a Drop?' pond-dip lab</t>
        </is>
      </c>
      <c r="F3" s="21" t="inlineStr">
        <is>
          <t>Printed pond-dip lab sheets (1 per student)</t>
        </is>
      </c>
      <c r="G3" s="20" t="n">
        <v>4</v>
      </c>
      <c r="H3" s="22" t="n">
        <v>8</v>
      </c>
      <c r="I3" s="22" t="n">
        <v>3</v>
      </c>
      <c r="J3" s="20">
        <f>G3*H3*I3</f>
        <v/>
      </c>
      <c r="K3" s="20" t="inlineStr">
        <is>
          <t>Consumable</t>
        </is>
      </c>
      <c r="L3" s="21" t="inlineStr">
        <is>
          <t>Print 1 per student (qty assumes 4 students per group). Reprint each year.</t>
        </is>
      </c>
      <c r="M3" s="21" t="inlineStr">
        <is>
          <t>Hanging file: Cycle 01</t>
        </is>
      </c>
      <c r="N3" s="21" t="inlineStr">
        <is>
          <t>—</t>
        </is>
      </c>
      <c r="O3" s="23" t="n">
        <v>0</v>
      </c>
      <c r="P3" s="21" t="inlineStr">
        <is>
          <t>School copier</t>
        </is>
      </c>
      <c r="Q3" s="21" t="inlineStr">
        <is>
          <t>http://www.microscopy-uk.org.uk/index-no-ads.html?http://www.microscopy-uk.org.uk/ponddip/</t>
        </is>
      </c>
    </row>
    <row r="4" ht="35.05" customHeight="1" s="14">
      <c r="A4" s="20" t="inlineStr">
        <is>
          <t>Q1</t>
        </is>
      </c>
      <c r="B4" s="21" t="inlineStr">
        <is>
          <t>Classifying Organisms (opening deck of the ecology arc)</t>
        </is>
      </c>
      <c r="C4" s="20" t="n">
        <v>1</v>
      </c>
      <c r="D4" s="21" t="inlineStr">
        <is>
          <t>Classifying_Organisms_with_VT_inserts (legacy)</t>
        </is>
      </c>
      <c r="E4" s="21" t="inlineStr">
        <is>
          <t>HHMI DNA-and-phylogeny Click and Learn</t>
        </is>
      </c>
      <c r="F4" s="21" t="inlineStr">
        <is>
          <t>Printed HHMI student answer documents (1 per student)</t>
        </is>
      </c>
      <c r="G4" s="20" t="n">
        <v>4</v>
      </c>
      <c r="H4" s="22" t="n">
        <v>8</v>
      </c>
      <c r="I4" s="22" t="n">
        <v>3</v>
      </c>
      <c r="J4" s="20">
        <f>G4*H4*I4</f>
        <v/>
      </c>
      <c r="K4" s="20" t="inlineStr">
        <is>
          <t>Consumable</t>
        </is>
      </c>
      <c r="L4" s="21" t="inlineStr">
        <is>
          <t>Print 1 per student. The Click and Learn URL is not in the deck — LINK NEEDED (likely 'Creating Phylogenetic Trees from DNA Sequences').</t>
        </is>
      </c>
      <c r="M4" s="21" t="inlineStr">
        <is>
          <t>Hanging file: Cycle 01</t>
        </is>
      </c>
      <c r="N4" s="21" t="inlineStr">
        <is>
          <t>—</t>
        </is>
      </c>
      <c r="O4" s="23" t="n">
        <v>0</v>
      </c>
      <c r="P4" s="21" t="inlineStr">
        <is>
          <t>School copier</t>
        </is>
      </c>
      <c r="Q4" s="21" t="inlineStr">
        <is>
          <t>LINK NEEDED (biointeractive.org)</t>
        </is>
      </c>
    </row>
    <row r="5" ht="35.05" customHeight="1" s="14">
      <c r="A5" s="20" t="inlineStr">
        <is>
          <t>Q1</t>
        </is>
      </c>
      <c r="B5" s="21" t="inlineStr">
        <is>
          <t>Classifying Organisms (opening deck of the ecology arc)</t>
        </is>
      </c>
      <c r="C5" s="20" t="n">
        <v>1</v>
      </c>
      <c r="D5" s="21" t="inlineStr">
        <is>
          <t>Classifying_Organisms_with_VT_inserts (legacy)</t>
        </is>
      </c>
      <c r="E5" s="21" t="inlineStr">
        <is>
          <t>Every cycle — sims, tank models, fiddles, deck work</t>
        </is>
      </c>
      <c r="F5" s="21" t="inlineStr">
        <is>
          <t>Chromebooks / student devices (listed once; used in nearly every cycle)</t>
        </is>
      </c>
      <c r="G5" s="20" t="n">
        <v>4</v>
      </c>
      <c r="H5" s="22" t="n">
        <v>8</v>
      </c>
      <c r="I5" s="22" t="n">
        <v>1</v>
      </c>
      <c r="J5" s="20">
        <f>G5*H5*I5</f>
        <v/>
      </c>
      <c r="K5" s="20" t="inlineStr">
        <is>
          <t>Reusable</t>
        </is>
      </c>
      <c r="L5" s="21" t="inlineStr">
        <is>
          <t>School-provided 1:1 devices assumed. Where a cycle has a no-tech alternative it is named in the Ecology Unit Guide / Unit Agenda.</t>
        </is>
      </c>
      <c r="M5" s="21" t="inlineStr">
        <is>
          <t>School device cart / 1:1 program</t>
        </is>
      </c>
      <c r="N5" s="21" t="inlineStr">
        <is>
          <t>—</t>
        </is>
      </c>
      <c r="O5" s="23" t="n">
        <v>0</v>
      </c>
      <c r="P5" s="21" t="inlineStr">
        <is>
          <t>Shared devices or teacher projection</t>
        </is>
      </c>
      <c r="Q5" s="21" t="inlineStr">
        <is>
          <t>—</t>
        </is>
      </c>
    </row>
    <row r="6" ht="35.05" customHeight="1" s="14">
      <c r="A6" s="20" t="inlineStr">
        <is>
          <t>Q1</t>
        </is>
      </c>
      <c r="B6" s="21" t="inlineStr">
        <is>
          <t>Ecosystems &amp; Feeding Relationships (free unit)</t>
        </is>
      </c>
      <c r="C6" s="20" t="n">
        <v>2</v>
      </c>
      <c r="D6" s="21" t="inlineStr">
        <is>
          <t>Cycle 02 (CORE)</t>
        </is>
      </c>
      <c r="E6" s="21" t="inlineStr">
        <is>
          <t>Two-day food-web build (Days 1–2)</t>
        </is>
      </c>
      <c r="F6" s="21" t="inlineStr">
        <is>
          <t>Pacific NW species card sets (printed)</t>
        </is>
      </c>
      <c r="G6" s="20" t="n">
        <v>1</v>
      </c>
      <c r="H6" s="22" t="n">
        <v>8</v>
      </c>
      <c r="I6" s="22" t="n">
        <v>1</v>
      </c>
      <c r="J6" s="20">
        <f>G6*H6*I6</f>
        <v/>
      </c>
      <c r="K6" s="20" t="inlineStr">
        <is>
          <t>Reusable</t>
        </is>
      </c>
      <c r="L6" s="21" t="inlineStr">
        <is>
          <t>Print one set per group on cardstock; laminate — the same sets serve all classes and are reused in Cycle 07. RIGHTS REVIEW NEEDED — identify the PDF's author before selling.</t>
        </is>
      </c>
      <c r="M6" s="21" t="inlineStr">
        <is>
          <t>Zip bags, one per group: Cycle 02</t>
        </is>
      </c>
      <c r="N6" s="21" t="inlineStr">
        <is>
          <t>—</t>
        </is>
      </c>
      <c r="O6" s="23" t="n">
        <v>5</v>
      </c>
      <c r="P6" s="21" t="inlineStr">
        <is>
          <t>Plain-paper sets, replaced yearly</t>
        </is>
      </c>
      <c r="Q6" s="21" t="inlineStr">
        <is>
          <t>https://drive.google.com/file/d/17heyT0Y6KVcezjak08wq7Zr8SSNaJyxg/view</t>
        </is>
      </c>
    </row>
    <row r="7" ht="23.85" customHeight="1" s="14">
      <c r="A7" s="20" t="inlineStr">
        <is>
          <t>Q1</t>
        </is>
      </c>
      <c r="B7" s="21" t="inlineStr">
        <is>
          <t>Ecosystems &amp; Feeding Relationships (free unit)</t>
        </is>
      </c>
      <c r="C7" s="20" t="n">
        <v>2</v>
      </c>
      <c r="D7" s="21" t="inlineStr">
        <is>
          <t>Cycle 02 (CORE)</t>
        </is>
      </c>
      <c r="E7" s="21" t="inlineStr">
        <is>
          <t>Two-day food-web build (Days 1–2)</t>
        </is>
      </c>
      <c r="F7" s="21" t="inlineStr">
        <is>
          <t>Food-web sheets (large paper for the web)</t>
        </is>
      </c>
      <c r="G7" s="20" t="n">
        <v>1</v>
      </c>
      <c r="H7" s="22" t="n">
        <v>8</v>
      </c>
      <c r="I7" s="22" t="n">
        <v>3</v>
      </c>
      <c r="J7" s="20">
        <f>G7*H7*I7</f>
        <v/>
      </c>
      <c r="K7" s="20" t="inlineStr">
        <is>
          <t>Consumable</t>
        </is>
      </c>
      <c r="L7" s="21" t="inlineStr">
        <is>
          <t>One large sheet per group per class.</t>
        </is>
      </c>
      <c r="M7" s="21" t="inlineStr">
        <is>
          <t>Flat stack: Cycle 02</t>
        </is>
      </c>
      <c r="N7" s="21" t="inlineStr">
        <is>
          <t>—</t>
        </is>
      </c>
      <c r="O7" s="23" t="n">
        <v>4</v>
      </c>
      <c r="P7" s="21" t="inlineStr">
        <is>
          <t>Butcher paper or taped copy paper</t>
        </is>
      </c>
      <c r="Q7" s="21" t="inlineStr">
        <is>
          <t>LINK NEEDED (school supply)</t>
        </is>
      </c>
    </row>
    <row r="8" ht="23.85" customHeight="1" s="14">
      <c r="A8" s="20" t="inlineStr">
        <is>
          <t>Q1</t>
        </is>
      </c>
      <c r="B8" s="21" t="inlineStr">
        <is>
          <t>Ecosystems &amp; Feeding Relationships (free unit)</t>
        </is>
      </c>
      <c r="C8" s="20" t="n">
        <v>2</v>
      </c>
      <c r="D8" s="21" t="inlineStr">
        <is>
          <t>Cycle 02 (CORE)</t>
        </is>
      </c>
      <c r="E8" s="21" t="inlineStr">
        <is>
          <t>Two-day food-web build (Days 1–2)</t>
        </is>
      </c>
      <c r="F8" s="21" t="inlineStr">
        <is>
          <t>Markers or pencils for arrows</t>
        </is>
      </c>
      <c r="G8" s="20" t="n">
        <v>4</v>
      </c>
      <c r="H8" s="22" t="n">
        <v>8</v>
      </c>
      <c r="I8" s="22" t="n">
        <v>1</v>
      </c>
      <c r="J8" s="20">
        <f>G8*H8*I8</f>
        <v/>
      </c>
      <c r="K8" s="20" t="inlineStr">
        <is>
          <t>Reusable</t>
        </is>
      </c>
      <c r="L8" s="21" t="inlineStr">
        <is>
          <t>Any classroom markers.</t>
        </is>
      </c>
      <c r="M8" s="21" t="inlineStr">
        <is>
          <t>General classroom stock</t>
        </is>
      </c>
      <c r="N8" s="21" t="inlineStr">
        <is>
          <t>—</t>
        </is>
      </c>
      <c r="O8" s="23" t="n">
        <v>8</v>
      </c>
      <c r="P8" s="21" t="inlineStr">
        <is>
          <t>Existing classroom markers</t>
        </is>
      </c>
      <c r="Q8" s="21" t="inlineStr">
        <is>
          <t>LINK NEEDED</t>
        </is>
      </c>
    </row>
    <row r="9" ht="23.85" customHeight="1" s="14">
      <c r="A9" s="20" t="inlineStr">
        <is>
          <t>Q1</t>
        </is>
      </c>
      <c r="B9" s="21" t="inlineStr">
        <is>
          <t>Energy Flow &amp; Trophic Pyramids</t>
        </is>
      </c>
      <c r="C9" s="20" t="n">
        <v>3</v>
      </c>
      <c r="D9" s="21" t="inlineStr">
        <is>
          <t>Cycle 03 (CORE)</t>
        </is>
      </c>
      <c r="E9" s="21" t="inlineStr">
        <is>
          <t>Energy Flow Stations (Day 1)</t>
        </is>
      </c>
      <c r="F9" s="21" t="inlineStr">
        <is>
          <t>Printed station cards (term/organism match, animal cards, process cards)</t>
        </is>
      </c>
      <c r="G9" s="20" t="n">
        <v>1</v>
      </c>
      <c r="H9" s="22" t="n">
        <v>8</v>
      </c>
      <c r="I9" s="22" t="n">
        <v>1</v>
      </c>
      <c r="J9" s="20">
        <f>G9*H9*I9</f>
        <v/>
      </c>
      <c r="K9" s="20" t="inlineStr">
        <is>
          <t>Reusable</t>
        </is>
      </c>
      <c r="L9" s="21" t="inlineStr">
        <is>
          <t>Print + laminate one set per station. Note: the deck lists Stations 1, 2, and 4 — no Station 3 — REVIEW WITH KATHERINE.</t>
        </is>
      </c>
      <c r="M9" s="21" t="inlineStr">
        <is>
          <t>Zip bags by station: Cycle 03</t>
        </is>
      </c>
      <c r="N9" s="21" t="inlineStr">
        <is>
          <t>—</t>
        </is>
      </c>
      <c r="O9" s="23" t="n">
        <v>4</v>
      </c>
      <c r="P9" s="21" t="inlineStr">
        <is>
          <t>Plain-paper sets, replaced yearly</t>
        </is>
      </c>
      <c r="Q9" s="21" t="inlineStr">
        <is>
          <t>—</t>
        </is>
      </c>
    </row>
    <row r="10" ht="35.05" customHeight="1" s="14">
      <c r="A10" s="20" t="inlineStr">
        <is>
          <t>Q1</t>
        </is>
      </c>
      <c r="B10" s="21" t="inlineStr">
        <is>
          <t>Energy Flow &amp; Trophic Pyramids</t>
        </is>
      </c>
      <c r="C10" s="20" t="n">
        <v>3</v>
      </c>
      <c r="D10" s="21" t="inlineStr">
        <is>
          <t>Cycle 03 (CORE)</t>
        </is>
      </c>
      <c r="E10" s="21" t="inlineStr">
        <is>
          <t>Energy Flow Stations (Day 1)</t>
        </is>
      </c>
      <c r="F10" s="21" t="inlineStr">
        <is>
          <t>Station checksheets (printed, 1 per student)</t>
        </is>
      </c>
      <c r="G10" s="20" t="n">
        <v>4</v>
      </c>
      <c r="H10" s="22" t="n">
        <v>8</v>
      </c>
      <c r="I10" s="22" t="n">
        <v>3</v>
      </c>
      <c r="J10" s="20">
        <f>G10*H10*I10</f>
        <v/>
      </c>
      <c r="K10" s="20" t="inlineStr">
        <is>
          <t>Consumable</t>
        </is>
      </c>
      <c r="L10" s="21" t="inlineStr">
        <is>
          <t>Print 1 per student.</t>
        </is>
      </c>
      <c r="M10" s="21" t="inlineStr">
        <is>
          <t>Hanging file: Cycle 03</t>
        </is>
      </c>
      <c r="N10" s="21" t="inlineStr">
        <is>
          <t>—</t>
        </is>
      </c>
      <c r="O10" s="23" t="n">
        <v>0</v>
      </c>
      <c r="P10" s="21" t="inlineStr">
        <is>
          <t>School copier</t>
        </is>
      </c>
      <c r="Q10" s="21" t="inlineStr">
        <is>
          <t>https://docs.google.com/document/d/1FkT60NzXXldA0lXlneufTsGY_3IV5_mNdaXnYkdVsnY/edit</t>
        </is>
      </c>
    </row>
    <row r="11" ht="15" customHeight="1" s="14">
      <c r="A11" s="20" t="inlineStr">
        <is>
          <t>Q1</t>
        </is>
      </c>
      <c r="B11" s="21" t="inlineStr">
        <is>
          <t>Energy Flow &amp; Trophic Pyramids</t>
        </is>
      </c>
      <c r="C11" s="20" t="n">
        <v>3</v>
      </c>
      <c r="D11" s="21" t="inlineStr">
        <is>
          <t>Cycle 03 (CORE)</t>
        </is>
      </c>
      <c r="E11" s="21" t="inlineStr">
        <is>
          <t>Do the Energy Math (Day 2)</t>
        </is>
      </c>
      <c r="F11" s="21" t="inlineStr">
        <is>
          <t>Printed pyramid sheets</t>
        </is>
      </c>
      <c r="G11" s="20" t="n">
        <v>1</v>
      </c>
      <c r="H11" s="22" t="n">
        <v>8</v>
      </c>
      <c r="I11" s="22" t="n">
        <v>3</v>
      </c>
      <c r="J11" s="20">
        <f>G11*H11*I11</f>
        <v/>
      </c>
      <c r="K11" s="20" t="inlineStr">
        <is>
          <t>Consumable</t>
        </is>
      </c>
      <c r="L11" s="21" t="inlineStr">
        <is>
          <t>One per group per class (or stack cards instead of sheets).</t>
        </is>
      </c>
      <c r="M11" s="21" t="inlineStr">
        <is>
          <t>Hanging file: Cycle 03</t>
        </is>
      </c>
      <c r="N11" s="21" t="inlineStr">
        <is>
          <t>—</t>
        </is>
      </c>
      <c r="O11" s="23" t="n">
        <v>0</v>
      </c>
      <c r="P11" s="21" t="inlineStr">
        <is>
          <t>School copier</t>
        </is>
      </c>
      <c r="Q11" s="21" t="inlineStr">
        <is>
          <t>—</t>
        </is>
      </c>
    </row>
    <row r="12" ht="23.85" customHeight="1" s="14">
      <c r="A12" s="20" t="inlineStr">
        <is>
          <t>Q1</t>
        </is>
      </c>
      <c r="B12" s="21" t="inlineStr">
        <is>
          <t>Cycles of Matter: The Carbon Cycle</t>
        </is>
      </c>
      <c r="C12" s="20" t="n">
        <v>4</v>
      </c>
      <c r="D12" s="21" t="inlineStr">
        <is>
          <t>Cycle 04 (CORE)</t>
        </is>
      </c>
      <c r="E12" s="21" t="inlineStr">
        <is>
          <t>Journey through the carbon cycle (dice-and-stations game, Day 2)</t>
        </is>
      </c>
      <c r="F12" s="21" t="inlineStr">
        <is>
          <t>Dice (one per station)</t>
        </is>
      </c>
      <c r="G12" s="20" t="n">
        <v>1</v>
      </c>
      <c r="H12" s="22" t="n">
        <v>8</v>
      </c>
      <c r="I12" s="22" t="n">
        <v>1</v>
      </c>
      <c r="J12" s="20">
        <f>G12*H12*I12</f>
        <v/>
      </c>
      <c r="K12" s="20" t="inlineStr">
        <is>
          <t>Reusable</t>
        </is>
      </c>
      <c r="L12" s="21" t="inlineStr">
        <is>
          <t>One die per station (stations ≈ groups).</t>
        </is>
      </c>
      <c r="M12" s="21" t="inlineStr">
        <is>
          <t>Small box: Cycle 04</t>
        </is>
      </c>
      <c r="N12" s="21" t="inlineStr">
        <is>
          <t>—</t>
        </is>
      </c>
      <c r="O12" s="23" t="n">
        <v>5</v>
      </c>
      <c r="P12" s="21" t="inlineStr">
        <is>
          <t>Phone/Chromebook die app or number spinner</t>
        </is>
      </c>
      <c r="Q12" s="21" t="inlineStr">
        <is>
          <t>LINK NEEDED</t>
        </is>
      </c>
    </row>
    <row r="13" ht="23.85" customHeight="1" s="14">
      <c r="A13" s="20" t="inlineStr">
        <is>
          <t>Q1</t>
        </is>
      </c>
      <c r="B13" s="21" t="inlineStr">
        <is>
          <t>Cycles of Matter: The Carbon Cycle</t>
        </is>
      </c>
      <c r="C13" s="20" t="n">
        <v>4</v>
      </c>
      <c r="D13" s="21" t="inlineStr">
        <is>
          <t>Cycle 04 (CORE)</t>
        </is>
      </c>
      <c r="E13" s="21" t="inlineStr">
        <is>
          <t>Journey through the carbon cycle (dice-and-stations game, Day 2)</t>
        </is>
      </c>
      <c r="F13" s="21" t="inlineStr">
        <is>
          <t>Printed carbon-station cards / signs</t>
        </is>
      </c>
      <c r="G13" s="20" t="n">
        <v>1</v>
      </c>
      <c r="H13" s="22" t="n">
        <v>8</v>
      </c>
      <c r="I13" s="22" t="n">
        <v>1</v>
      </c>
      <c r="J13" s="20">
        <f>G13*H13*I13</f>
        <v/>
      </c>
      <c r="K13" s="20" t="inlineStr">
        <is>
          <t>Reusable</t>
        </is>
      </c>
      <c r="L13" s="21" t="inlineStr">
        <is>
          <t>One sign per station; laminate once.</t>
        </is>
      </c>
      <c r="M13" s="21" t="inlineStr">
        <is>
          <t>Folder: Cycle 04</t>
        </is>
      </c>
      <c r="N13" s="21" t="inlineStr">
        <is>
          <t>—</t>
        </is>
      </c>
      <c r="O13" s="23" t="n">
        <v>2</v>
      </c>
      <c r="P13" s="21" t="inlineStr">
        <is>
          <t>Plain-paper signs</t>
        </is>
      </c>
      <c r="Q13" s="21" t="inlineStr">
        <is>
          <t>LINK NEEDED (NAGT Carbon Cycle Game — deck holds only nagt.org)</t>
        </is>
      </c>
    </row>
    <row r="14" ht="23.85" customHeight="1" s="14">
      <c r="A14" s="20" t="inlineStr">
        <is>
          <t>Q1</t>
        </is>
      </c>
      <c r="B14" s="21" t="inlineStr">
        <is>
          <t>Cycles of Matter: The Carbon Cycle</t>
        </is>
      </c>
      <c r="C14" s="20" t="n">
        <v>4</v>
      </c>
      <c r="D14" s="21" t="inlineStr">
        <is>
          <t>Cycle 04 (CORE)</t>
        </is>
      </c>
      <c r="E14" s="21" t="inlineStr">
        <is>
          <t>Journey through the carbon cycle (dice-and-stations game, Day 2)</t>
        </is>
      </c>
      <c r="F14" s="21" t="inlineStr">
        <is>
          <t>Student carbon-journey log sheets (1 per student)</t>
        </is>
      </c>
      <c r="G14" s="20" t="n">
        <v>4</v>
      </c>
      <c r="H14" s="22" t="n">
        <v>8</v>
      </c>
      <c r="I14" s="22" t="n">
        <v>3</v>
      </c>
      <c r="J14" s="20">
        <f>G14*H14*I14</f>
        <v/>
      </c>
      <c r="K14" s="20" t="inlineStr">
        <is>
          <t>Consumable</t>
        </is>
      </c>
      <c r="L14" s="21" t="inlineStr">
        <is>
          <t>Each student plays one carbon atom and logs its moves.</t>
        </is>
      </c>
      <c r="M14" s="21" t="inlineStr">
        <is>
          <t>Hanging file: Cycle 04</t>
        </is>
      </c>
      <c r="N14" s="21" t="inlineStr">
        <is>
          <t>—</t>
        </is>
      </c>
      <c r="O14" s="23" t="n">
        <v>0</v>
      </c>
      <c r="P14" s="21" t="inlineStr">
        <is>
          <t>School copier</t>
        </is>
      </c>
      <c r="Q14" s="21" t="inlineStr">
        <is>
          <t>—</t>
        </is>
      </c>
    </row>
    <row r="15" ht="23.85" customHeight="1" s="14">
      <c r="A15" s="20" t="inlineStr">
        <is>
          <t>Q1</t>
        </is>
      </c>
      <c r="B15" s="21" t="inlineStr">
        <is>
          <t>Photosynthesis</t>
        </is>
      </c>
      <c r="C15" s="20" t="n">
        <v>5</v>
      </c>
      <c r="D15" s="21" t="inlineStr">
        <is>
          <t>Cycle 05 (CORE)</t>
        </is>
      </c>
      <c r="E15" s="21" t="inlineStr">
        <is>
          <t>Leaf-Disk Float Lab (Day 1)</t>
        </is>
      </c>
      <c r="F15" s="21" t="inlineStr">
        <is>
          <t>Baking soda (1 box covers all classes)</t>
        </is>
      </c>
      <c r="G15" s="20" t="n">
        <v>1</v>
      </c>
      <c r="H15" s="22" t="n">
        <v>1</v>
      </c>
      <c r="I15" s="22" t="n">
        <v>1</v>
      </c>
      <c r="J15" s="20">
        <f>G15*H15*I15</f>
        <v/>
      </c>
      <c r="K15" s="20" t="inlineStr">
        <is>
          <t>Consumable</t>
        </is>
      </c>
      <c r="L15" s="21" t="inlineStr">
        <is>
          <t>Make fresh dilute solution day-of. Per-class item: groups set to 1.</t>
        </is>
      </c>
      <c r="M15" s="21" t="inlineStr">
        <is>
          <t>Supply shelf: wet-lab bin</t>
        </is>
      </c>
      <c r="N15" s="21" t="inlineStr">
        <is>
          <t>—</t>
        </is>
      </c>
      <c r="O15" s="23" t="n">
        <v>1</v>
      </c>
      <c r="P15" s="21" t="inlineStr">
        <is>
          <t>—</t>
        </is>
      </c>
      <c r="Q15" s="21" t="inlineStr">
        <is>
          <t>LINK NEEDED (grocery)</t>
        </is>
      </c>
    </row>
    <row r="16" ht="15" customHeight="1" s="14">
      <c r="A16" s="20" t="inlineStr">
        <is>
          <t>Q1</t>
        </is>
      </c>
      <c r="B16" s="21" t="inlineStr">
        <is>
          <t>Photosynthesis</t>
        </is>
      </c>
      <c r="C16" s="20" t="n">
        <v>5</v>
      </c>
      <c r="D16" s="21" t="inlineStr">
        <is>
          <t>Cycle 05 (CORE)</t>
        </is>
      </c>
      <c r="E16" s="21" t="inlineStr">
        <is>
          <t>Leaf-Disk Float Lab (Day 1)</t>
        </is>
      </c>
      <c r="F16" s="21" t="inlineStr">
        <is>
          <t>Liquid dish soap (1 bottle, lasts the year)</t>
        </is>
      </c>
      <c r="G16" s="20" t="n">
        <v>1</v>
      </c>
      <c r="H16" s="22" t="n">
        <v>1</v>
      </c>
      <c r="I16" s="22" t="n">
        <v>1</v>
      </c>
      <c r="J16" s="20">
        <f>G16*H16*I16</f>
        <v/>
      </c>
      <c r="K16" s="20" t="inlineStr">
        <is>
          <t>Consumable</t>
        </is>
      </c>
      <c r="L16" s="21" t="inlineStr">
        <is>
          <t>A drop per solution batch. Per-class item: groups set to 1.</t>
        </is>
      </c>
      <c r="M16" s="21" t="inlineStr">
        <is>
          <t>Supply shelf: wet-lab bin</t>
        </is>
      </c>
      <c r="N16" s="21" t="inlineStr">
        <is>
          <t>—</t>
        </is>
      </c>
      <c r="O16" s="23" t="n">
        <v>3</v>
      </c>
      <c r="P16" s="21" t="inlineStr">
        <is>
          <t>—</t>
        </is>
      </c>
      <c r="Q16" s="21" t="inlineStr">
        <is>
          <t>LINK NEEDED (grocery)</t>
        </is>
      </c>
    </row>
    <row r="17" ht="23.85" customHeight="1" s="14">
      <c r="A17" s="20" t="inlineStr">
        <is>
          <t>Q1</t>
        </is>
      </c>
      <c r="B17" s="21" t="inlineStr">
        <is>
          <t>Photosynthesis</t>
        </is>
      </c>
      <c r="C17" s="20" t="n">
        <v>5</v>
      </c>
      <c r="D17" s="21" t="inlineStr">
        <is>
          <t>Cycle 05 (CORE)</t>
        </is>
      </c>
      <c r="E17" s="21" t="inlineStr">
        <is>
          <t>Leaf-Disk Float Lab (Day 1)</t>
        </is>
      </c>
      <c r="F17" s="21" t="inlineStr">
        <is>
          <t>Fresh spinach leaves (2 bags cover all classes)</t>
        </is>
      </c>
      <c r="G17" s="20" t="n">
        <v>2</v>
      </c>
      <c r="H17" s="22" t="n">
        <v>1</v>
      </c>
      <c r="I17" s="22" t="n">
        <v>1</v>
      </c>
      <c r="J17" s="20">
        <f>G17*H17*I17</f>
        <v/>
      </c>
      <c r="K17" s="20" t="inlineStr">
        <is>
          <t>Consumable</t>
        </is>
      </c>
      <c r="L17" s="21" t="inlineStr">
        <is>
          <t>Buy 1–2 days before; refrigerate — crisp leaves float best. Per-class item: groups set to 1.</t>
        </is>
      </c>
      <c r="M17" s="21" t="inlineStr">
        <is>
          <t>Refrigerator until lab day</t>
        </is>
      </c>
      <c r="N17" s="21" t="inlineStr">
        <is>
          <t>—</t>
        </is>
      </c>
      <c r="O17" s="23" t="n">
        <v>4</v>
      </c>
      <c r="P17" s="21" t="inlineStr">
        <is>
          <t>—</t>
        </is>
      </c>
      <c r="Q17" s="21" t="inlineStr">
        <is>
          <t>LINK NEEDED (grocery)</t>
        </is>
      </c>
    </row>
    <row r="18" ht="15" customHeight="1" s="14">
      <c r="A18" s="20" t="inlineStr">
        <is>
          <t>Q1</t>
        </is>
      </c>
      <c r="B18" s="21" t="inlineStr">
        <is>
          <t>Photosynthesis</t>
        </is>
      </c>
      <c r="C18" s="20" t="n">
        <v>5</v>
      </c>
      <c r="D18" s="21" t="inlineStr">
        <is>
          <t>Cycle 05 (CORE)</t>
        </is>
      </c>
      <c r="E18" s="21" t="inlineStr">
        <is>
          <t>Leaf-Disk Float Lab (Day 1)</t>
        </is>
      </c>
      <c r="F18" s="21" t="inlineStr">
        <is>
          <t>Hole punch (standard, single)</t>
        </is>
      </c>
      <c r="G18" s="20" t="n">
        <v>1</v>
      </c>
      <c r="H18" s="22" t="n">
        <v>8</v>
      </c>
      <c r="I18" s="22" t="n">
        <v>1</v>
      </c>
      <c r="J18" s="20">
        <f>G18*H18*I18</f>
        <v/>
      </c>
      <c r="K18" s="20" t="inlineStr">
        <is>
          <t>Reusable</t>
        </is>
      </c>
      <c r="L18" s="21" t="inlineStr">
        <is>
          <t>Punches the leaf disks.</t>
        </is>
      </c>
      <c r="M18" s="21" t="inlineStr">
        <is>
          <t>Wet-lab bin</t>
        </is>
      </c>
      <c r="N18" s="21" t="inlineStr">
        <is>
          <t>—</t>
        </is>
      </c>
      <c r="O18" s="23" t="n">
        <v>16</v>
      </c>
      <c r="P18" s="21" t="inlineStr">
        <is>
          <t>Share 4 punches between 8 groups</t>
        </is>
      </c>
      <c r="Q18" s="21" t="inlineStr">
        <is>
          <t>LINK NEEDED</t>
        </is>
      </c>
    </row>
    <row r="19" ht="15" customHeight="1" s="14">
      <c r="A19" s="20" t="inlineStr">
        <is>
          <t>Q1</t>
        </is>
      </c>
      <c r="B19" s="21" t="inlineStr">
        <is>
          <t>Photosynthesis</t>
        </is>
      </c>
      <c r="C19" s="20" t="n">
        <v>5</v>
      </c>
      <c r="D19" s="21" t="inlineStr">
        <is>
          <t>Cycle 05 (CORE)</t>
        </is>
      </c>
      <c r="E19" s="21" t="inlineStr">
        <is>
          <t>Leaf-Disk Float Lab (Day 1)</t>
        </is>
      </c>
      <c r="F19" s="21" t="inlineStr">
        <is>
          <t>Plastic syringes, 10 mL, no needle</t>
        </is>
      </c>
      <c r="G19" s="20" t="n">
        <v>2</v>
      </c>
      <c r="H19" s="22" t="n">
        <v>8</v>
      </c>
      <c r="I19" s="22" t="n">
        <v>1</v>
      </c>
      <c r="J19" s="20">
        <f>G19*H19*I19</f>
        <v/>
      </c>
      <c r="K19" s="20" t="inlineStr">
        <is>
          <t>Reusable</t>
        </is>
      </c>
      <c r="L19" s="21" t="inlineStr">
        <is>
          <t>Rinse and air-dry after each class.</t>
        </is>
      </c>
      <c r="M19" s="21" t="inlineStr">
        <is>
          <t>Wet-lab bin</t>
        </is>
      </c>
      <c r="N19" s="21" t="inlineStr">
        <is>
          <t>—</t>
        </is>
      </c>
      <c r="O19" s="23" t="n">
        <v>10</v>
      </c>
      <c r="P19" s="21" t="inlineStr">
        <is>
          <t>—</t>
        </is>
      </c>
      <c r="Q19" s="21" t="inlineStr">
        <is>
          <t>LINK NEEDED (science supplier)</t>
        </is>
      </c>
    </row>
    <row r="20" ht="23.85" customHeight="1" s="14">
      <c r="A20" s="20" t="inlineStr">
        <is>
          <t>Q1</t>
        </is>
      </c>
      <c r="B20" s="21" t="inlineStr">
        <is>
          <t>Photosynthesis</t>
        </is>
      </c>
      <c r="C20" s="20" t="n">
        <v>5</v>
      </c>
      <c r="D20" s="21" t="inlineStr">
        <is>
          <t>Cycle 05 (CORE)</t>
        </is>
      </c>
      <c r="E20" s="21" t="inlineStr">
        <is>
          <t>Leaf-Disk Float Lab (Day 1)</t>
        </is>
      </c>
      <c r="F20" s="21" t="inlineStr">
        <is>
          <t>Clear plastic cups</t>
        </is>
      </c>
      <c r="G20" s="20" t="n">
        <v>3</v>
      </c>
      <c r="H20" s="22" t="n">
        <v>8</v>
      </c>
      <c r="I20" s="22" t="n">
        <v>1</v>
      </c>
      <c r="J20" s="20">
        <f>G20*H20*I20</f>
        <v/>
      </c>
      <c r="K20" s="20" t="inlineStr">
        <is>
          <t>Reusable</t>
        </is>
      </c>
      <c r="L20" s="21" t="inlineStr">
        <is>
          <t>Rinse and reuse — the same cup stock serves Cycles 06, 09, 10 and 18.</t>
        </is>
      </c>
      <c r="M20" s="21" t="inlineStr">
        <is>
          <t>Wet-lab bin</t>
        </is>
      </c>
      <c r="N20" s="21" t="inlineStr">
        <is>
          <t>—</t>
        </is>
      </c>
      <c r="O20" s="23" t="n">
        <v>5</v>
      </c>
      <c r="P20" s="21" t="inlineStr">
        <is>
          <t>Rinsed jars</t>
        </is>
      </c>
      <c r="Q20" s="21" t="inlineStr">
        <is>
          <t>LINK NEEDED (grocery)</t>
        </is>
      </c>
    </row>
    <row r="21" ht="23.85" customHeight="1" s="14">
      <c r="A21" s="20" t="inlineStr">
        <is>
          <t>Q1</t>
        </is>
      </c>
      <c r="B21" s="21" t="inlineStr">
        <is>
          <t>Photosynthesis</t>
        </is>
      </c>
      <c r="C21" s="20" t="n">
        <v>5</v>
      </c>
      <c r="D21" s="21" t="inlineStr">
        <is>
          <t>Cycle 05 (CORE)</t>
        </is>
      </c>
      <c r="E21" s="21" t="inlineStr">
        <is>
          <t>Leaf-Disk Float Lab (Day 1)</t>
        </is>
      </c>
      <c r="F21" s="21" t="inlineStr">
        <is>
          <t>Desk lamp or clamp light</t>
        </is>
      </c>
      <c r="G21" s="20" t="n">
        <v>1</v>
      </c>
      <c r="H21" s="22" t="n">
        <v>8</v>
      </c>
      <c r="I21" s="22" t="n">
        <v>1</v>
      </c>
      <c r="J21" s="20">
        <f>G21*H21*I21</f>
        <v/>
      </c>
      <c r="K21" s="20" t="inlineStr">
        <is>
          <t>Reusable</t>
        </is>
      </c>
      <c r="L21" s="21" t="inlineStr">
        <is>
          <t>Light source per group; also the Day-2 stretch variable (move the lamp closer).</t>
        </is>
      </c>
      <c r="M21" s="21" t="inlineStr">
        <is>
          <t>Cabinet: lab equipment</t>
        </is>
      </c>
      <c r="N21" s="21" t="inlineStr">
        <is>
          <t>—</t>
        </is>
      </c>
      <c r="O21" s="23" t="n">
        <v>80</v>
      </c>
      <c r="P21" s="21" t="inlineStr">
        <is>
          <t>Window light, or 4 lamps shared across 8 groups with staggered timing</t>
        </is>
      </c>
      <c r="Q21" s="21" t="inlineStr">
        <is>
          <t>LINK NEEDED</t>
        </is>
      </c>
    </row>
    <row r="22" ht="15" customHeight="1" s="14">
      <c r="A22" s="20" t="inlineStr">
        <is>
          <t>Q1</t>
        </is>
      </c>
      <c r="B22" s="21" t="inlineStr">
        <is>
          <t>Photosynthesis</t>
        </is>
      </c>
      <c r="C22" s="20" t="n">
        <v>5</v>
      </c>
      <c r="D22" s="21" t="inlineStr">
        <is>
          <t>Cycle 05 (CORE)</t>
        </is>
      </c>
      <c r="E22" s="21" t="inlineStr">
        <is>
          <t>Leaf-Disk Float Lab (Day 1)</t>
        </is>
      </c>
      <c r="F22" s="21" t="inlineStr">
        <is>
          <t>Timers</t>
        </is>
      </c>
      <c r="G22" s="20" t="n">
        <v>1</v>
      </c>
      <c r="H22" s="22" t="n">
        <v>8</v>
      </c>
      <c r="I22" s="22" t="n">
        <v>1</v>
      </c>
      <c r="J22" s="20">
        <f>G22*H22*I22</f>
        <v/>
      </c>
      <c r="K22" s="20" t="inlineStr">
        <is>
          <t>Reusable</t>
        </is>
      </c>
      <c r="L22" s="21" t="inlineStr">
        <is>
          <t>Counting floated disks each minute is built-in waiting-time work.</t>
        </is>
      </c>
      <c r="M22" s="21" t="inlineStr">
        <is>
          <t>Wet-lab bin</t>
        </is>
      </c>
      <c r="N22" s="21" t="inlineStr">
        <is>
          <t>—</t>
        </is>
      </c>
      <c r="O22" s="23" t="n">
        <v>0</v>
      </c>
      <c r="P22" s="21" t="inlineStr">
        <is>
          <t>Chromebook / device clock</t>
        </is>
      </c>
      <c r="Q22" s="21" t="inlineStr">
        <is>
          <t>—</t>
        </is>
      </c>
    </row>
    <row r="23" ht="15" customHeight="1" s="14">
      <c r="A23" s="20" t="inlineStr">
        <is>
          <t>Q1</t>
        </is>
      </c>
      <c r="B23" s="21" t="inlineStr">
        <is>
          <t>Photosynthesis</t>
        </is>
      </c>
      <c r="C23" s="20" t="n">
        <v>5</v>
      </c>
      <c r="D23" s="21" t="inlineStr">
        <is>
          <t>Cycle 05 (CORE)</t>
        </is>
      </c>
      <c r="E23" s="21" t="inlineStr">
        <is>
          <t>Leaf-Disk Float Lab (Day 1)</t>
        </is>
      </c>
      <c r="F23" s="21" t="inlineStr">
        <is>
          <t>Measuring spoons (set)</t>
        </is>
      </c>
      <c r="G23" s="20" t="n">
        <v>1</v>
      </c>
      <c r="H23" s="22" t="n">
        <v>8</v>
      </c>
      <c r="I23" s="22" t="n">
        <v>1</v>
      </c>
      <c r="J23" s="20">
        <f>G23*H23*I23</f>
        <v/>
      </c>
      <c r="K23" s="20" t="inlineStr">
        <is>
          <t>Reusable</t>
        </is>
      </c>
      <c r="L23" s="21" t="inlineStr">
        <is>
          <t>For the baking-soda solution.</t>
        </is>
      </c>
      <c r="M23" s="21" t="inlineStr">
        <is>
          <t>Wet-lab bin</t>
        </is>
      </c>
      <c r="N23" s="21" t="inlineStr">
        <is>
          <t>—</t>
        </is>
      </c>
      <c r="O23" s="23" t="n">
        <v>10</v>
      </c>
      <c r="P23" s="21" t="inlineStr">
        <is>
          <t>One shared teacher set</t>
        </is>
      </c>
      <c r="Q23" s="21" t="inlineStr">
        <is>
          <t>LINK NEEDED</t>
        </is>
      </c>
    </row>
    <row r="24" ht="35.05" customHeight="1" s="14">
      <c r="A24" s="20" t="inlineStr">
        <is>
          <t>Q1</t>
        </is>
      </c>
      <c r="B24" s="21" t="inlineStr">
        <is>
          <t>Photosynthesis</t>
        </is>
      </c>
      <c r="C24" s="20" t="n">
        <v>5</v>
      </c>
      <c r="D24" s="21" t="inlineStr">
        <is>
          <t>Cycle 05 (CORE)</t>
        </is>
      </c>
      <c r="E24" s="21" t="inlineStr">
        <is>
          <t>All wet labs (introduced here; reused Cycles 06, 10)</t>
        </is>
      </c>
      <c r="F24" s="21" t="inlineStr">
        <is>
          <t>Safety goggles (1 per student)</t>
        </is>
      </c>
      <c r="G24" s="20" t="n">
        <v>4</v>
      </c>
      <c r="H24" s="22" t="n">
        <v>8</v>
      </c>
      <c r="I24" s="22" t="n">
        <v>1</v>
      </c>
      <c r="J24" s="20">
        <f>G24*H24*I24</f>
        <v/>
      </c>
      <c r="K24" s="20" t="inlineStr">
        <is>
          <t>Reusable</t>
        </is>
      </c>
      <c r="L24" s="21" t="inlineStr">
        <is>
          <t>One class set serves all classes — sanitize between classes.</t>
        </is>
      </c>
      <c r="M24" s="21" t="inlineStr">
        <is>
          <t>Goggle rack or bin</t>
        </is>
      </c>
      <c r="N24" s="21" t="inlineStr">
        <is>
          <t>First wet lab of the year — teach the deck's plain-terms safety intro first (goggles when told, never eat or drink in lab, spills to the teacher).</t>
        </is>
      </c>
      <c r="O24" s="23" t="n">
        <v>60</v>
      </c>
      <c r="P24" s="21" t="inlineStr">
        <is>
          <t>Borrow a class set from the science department</t>
        </is>
      </c>
      <c r="Q24" s="21" t="inlineStr">
        <is>
          <t>LINK NEEDED (school science supplier)</t>
        </is>
      </c>
    </row>
    <row r="25" ht="23.85" customHeight="1" s="14">
      <c r="A25" s="20" t="inlineStr">
        <is>
          <t>Q1</t>
        </is>
      </c>
      <c r="B25" s="21" t="inlineStr">
        <is>
          <t>Photosynthesis</t>
        </is>
      </c>
      <c r="C25" s="20" t="n">
        <v>5</v>
      </c>
      <c r="D25" s="21" t="inlineStr">
        <is>
          <t>Cycle 05 (CORE)</t>
        </is>
      </c>
      <c r="E25" s="21" t="inlineStr">
        <is>
          <t>Build-a-sugar-molecule (Day 2)</t>
        </is>
      </c>
      <c r="F25" s="21" t="inlineStr">
        <is>
          <t>Molecular model kits</t>
        </is>
      </c>
      <c r="G25" s="20" t="n">
        <v>1</v>
      </c>
      <c r="H25" s="22" t="n">
        <v>8</v>
      </c>
      <c r="I25" s="22" t="n">
        <v>1</v>
      </c>
      <c r="J25" s="20">
        <f>G25*H25*I25</f>
        <v/>
      </c>
      <c r="K25" s="20" t="inlineStr">
        <is>
          <t>Reusable</t>
        </is>
      </c>
      <c r="L25" s="21" t="inlineStr">
        <is>
          <t>'Every atom has to be used' — check kits complete after each class.</t>
        </is>
      </c>
      <c r="M25" s="21" t="inlineStr">
        <is>
          <t>Cabinet: lab equipment</t>
        </is>
      </c>
      <c r="N25" s="21" t="inlineStr">
        <is>
          <t>—</t>
        </is>
      </c>
      <c r="O25" s="23" t="n">
        <v>130</v>
      </c>
      <c r="P25" s="21" t="inlineStr">
        <is>
          <t>Colored paper circles + tape build the same molecule</t>
        </is>
      </c>
      <c r="Q25" s="21" t="inlineStr">
        <is>
          <t>LINK NEEDED (science supplier)</t>
        </is>
      </c>
    </row>
    <row r="26" ht="23.85" customHeight="1" s="14">
      <c r="A26" s="20" t="inlineStr">
        <is>
          <t>Q1</t>
        </is>
      </c>
      <c r="B26" s="21" t="inlineStr">
        <is>
          <t>Photosynthesis</t>
        </is>
      </c>
      <c r="C26" s="20" t="n">
        <v>5</v>
      </c>
      <c r="D26" s="21" t="inlineStr">
        <is>
          <t>Cycle 05 (CORE)</t>
        </is>
      </c>
      <c r="E26" s="21" t="inlineStr">
        <is>
          <t>Leaf-Disk Float Lab + Van Helmont handout</t>
        </is>
      </c>
      <c r="F26" s="21" t="inlineStr">
        <is>
          <t>Printed lab handouts + Van Helmont handouts (2 per student)</t>
        </is>
      </c>
      <c r="G26" s="20" t="n">
        <v>8</v>
      </c>
      <c r="H26" s="22" t="n">
        <v>8</v>
      </c>
      <c r="I26" s="22" t="n">
        <v>3</v>
      </c>
      <c r="J26" s="20">
        <f>G26*H26*I26</f>
        <v/>
      </c>
      <c r="K26" s="20" t="inlineStr">
        <is>
          <t>Consumable</t>
        </is>
      </c>
      <c r="L26" s="21" t="inlineStr">
        <is>
          <t>Two handouts per student.</t>
        </is>
      </c>
      <c r="M26" s="21" t="inlineStr">
        <is>
          <t>Hanging file: Cycle 05</t>
        </is>
      </c>
      <c r="N26" s="21" t="inlineStr">
        <is>
          <t>—</t>
        </is>
      </c>
      <c r="O26" s="23" t="n">
        <v>0</v>
      </c>
      <c r="P26" s="21" t="inlineStr">
        <is>
          <t>School copier</t>
        </is>
      </c>
      <c r="Q26" s="21" t="inlineStr">
        <is>
          <t>—</t>
        </is>
      </c>
    </row>
    <row r="27" ht="23.85" customHeight="1" s="14">
      <c r="A27" s="20" t="inlineStr">
        <is>
          <t>Q2</t>
        </is>
      </c>
      <c r="B27" s="21" t="inlineStr">
        <is>
          <t>Cellular Respiration &amp; Fermentation</t>
        </is>
      </c>
      <c r="C27" s="20" t="n">
        <v>6</v>
      </c>
      <c r="D27" s="21" t="inlineStr">
        <is>
          <t>Cycle 06 (CORE)</t>
        </is>
      </c>
      <c r="E27" s="21" t="inlineStr">
        <is>
          <t>Fish &amp; BTB demo (all-block teacher demo)</t>
        </is>
      </c>
      <c r="F27" s="21" t="inlineStr">
        <is>
          <t>Fish (borrowed, with care protocol)</t>
        </is>
      </c>
      <c r="G27" s="20" t="n">
        <v>1</v>
      </c>
      <c r="H27" s="22" t="n">
        <v>1</v>
      </c>
      <c r="I27" s="22" t="n">
        <v>1</v>
      </c>
      <c r="J27" s="20">
        <f>G27*H27*I27</f>
        <v/>
      </c>
      <c r="K27" s="20" t="inlineStr">
        <is>
          <t>Reusable</t>
        </is>
      </c>
      <c r="L27" s="21" t="inlineStr">
        <is>
          <t>Borrowed, not bought; one fish serves all classes. Per-class demo: groups set to 1.</t>
        </is>
      </c>
      <c r="M27" s="21" t="inlineStr">
        <is>
          <t>Tank/bowl at the demo counter for the cycle</t>
        </is>
      </c>
      <c r="N27" s="21" t="inlineStr">
        <is>
          <t>Animal care: dechlorinated water only, minimal handling, return promptly after the cycle.</t>
        </is>
      </c>
      <c r="O27" s="23" t="n">
        <v>0</v>
      </c>
      <c r="P27" s="21" t="inlineStr">
        <is>
          <t>Video of the BTB color change — LINK NEEDED</t>
        </is>
      </c>
      <c r="Q27" s="21" t="inlineStr">
        <is>
          <t>—</t>
        </is>
      </c>
    </row>
    <row r="28" ht="23.85" customHeight="1" s="14">
      <c r="A28" s="20" t="inlineStr">
        <is>
          <t>Q2</t>
        </is>
      </c>
      <c r="B28" s="21" t="inlineStr">
        <is>
          <t>Cellular Respiration &amp; Fermentation</t>
        </is>
      </c>
      <c r="C28" s="20" t="n">
        <v>6</v>
      </c>
      <c r="D28" s="21" t="inlineStr">
        <is>
          <t>Cycle 06 (CORE)</t>
        </is>
      </c>
      <c r="E28" s="21" t="inlineStr">
        <is>
          <t>Fish &amp; BTB demo</t>
        </is>
      </c>
      <c r="F28" s="21" t="inlineStr">
        <is>
          <t>Bromothymol blue (BTB) solution</t>
        </is>
      </c>
      <c r="G28" s="20" t="n">
        <v>1</v>
      </c>
      <c r="H28" s="22" t="n">
        <v>1</v>
      </c>
      <c r="I28" s="22" t="n">
        <v>1</v>
      </c>
      <c r="J28" s="20">
        <f>G28*H28*I28</f>
        <v/>
      </c>
      <c r="K28" s="20" t="inlineStr">
        <is>
          <t>Consumable</t>
        </is>
      </c>
      <c r="L28" s="21" t="inlineStr">
        <is>
          <t>One bottle lasts years of demos. Per-class demo: groups set to 1.</t>
        </is>
      </c>
      <c r="M28" s="21" t="inlineStr">
        <is>
          <t>Chemical shelf, labeled</t>
        </is>
      </c>
      <c r="N28" s="21" t="inlineStr">
        <is>
          <t>BTB stains — gloves and goggles when pouring.</t>
        </is>
      </c>
      <c r="O28" s="23" t="n">
        <v>8</v>
      </c>
      <c r="P28" s="21" t="inlineStr">
        <is>
          <t>—</t>
        </is>
      </c>
      <c r="Q28" s="21" t="inlineStr">
        <is>
          <t>LINK NEEDED (science supplier)</t>
        </is>
      </c>
    </row>
    <row r="29" ht="15" customHeight="1" s="14">
      <c r="A29" s="20" t="inlineStr">
        <is>
          <t>Q2</t>
        </is>
      </c>
      <c r="B29" s="21" t="inlineStr">
        <is>
          <t>Cellular Respiration &amp; Fermentation</t>
        </is>
      </c>
      <c r="C29" s="20" t="n">
        <v>6</v>
      </c>
      <c r="D29" s="21" t="inlineStr">
        <is>
          <t>Cycle 06 (CORE)</t>
        </is>
      </c>
      <c r="E29" s="21" t="inlineStr">
        <is>
          <t>Fish &amp; BTB demo</t>
        </is>
      </c>
      <c r="F29" s="21" t="inlineStr">
        <is>
          <t>Dechlorinated water</t>
        </is>
      </c>
      <c r="G29" s="20" t="n">
        <v>1</v>
      </c>
      <c r="H29" s="22" t="n">
        <v>1</v>
      </c>
      <c r="I29" s="22" t="n">
        <v>3</v>
      </c>
      <c r="J29" s="20">
        <f>G29*H29*I29</f>
        <v/>
      </c>
      <c r="K29" s="20" t="inlineStr">
        <is>
          <t>Consumable</t>
        </is>
      </c>
      <c r="L29" s="21" t="inlineStr">
        <is>
          <t>Set tap water out overnight, or use aquarium conditioner.</t>
        </is>
      </c>
      <c r="M29" s="21" t="inlineStr">
        <is>
          <t>Jug near demo counter</t>
        </is>
      </c>
      <c r="N29" s="21" t="inlineStr">
        <is>
          <t>—</t>
        </is>
      </c>
      <c r="O29" s="23" t="n">
        <v>0</v>
      </c>
      <c r="P29" s="21" t="inlineStr">
        <is>
          <t>—</t>
        </is>
      </c>
      <c r="Q29" s="21" t="inlineStr">
        <is>
          <t>—</t>
        </is>
      </c>
    </row>
    <row r="30" ht="15" customHeight="1" s="14">
      <c r="A30" s="20" t="inlineStr">
        <is>
          <t>Q2</t>
        </is>
      </c>
      <c r="B30" s="21" t="inlineStr">
        <is>
          <t>Cellular Respiration &amp; Fermentation</t>
        </is>
      </c>
      <c r="C30" s="20" t="n">
        <v>6</v>
      </c>
      <c r="D30" s="21" t="inlineStr">
        <is>
          <t>Cycle 06 (CORE)</t>
        </is>
      </c>
      <c r="E30" s="21" t="inlineStr">
        <is>
          <t>Fish &amp; BTB demo + liver lab (Cycle 10)</t>
        </is>
      </c>
      <c r="F30" s="21" t="inlineStr">
        <is>
          <t>Disposable gloves (1 box)</t>
        </is>
      </c>
      <c r="G30" s="20" t="n">
        <v>1</v>
      </c>
      <c r="H30" s="22" t="n">
        <v>1</v>
      </c>
      <c r="I30" s="22" t="n">
        <v>1</v>
      </c>
      <c r="J30" s="20">
        <f>G30*H30*I30</f>
        <v/>
      </c>
      <c r="K30" s="20" t="inlineStr">
        <is>
          <t>Consumable</t>
        </is>
      </c>
      <c r="L30" s="21" t="inlineStr">
        <is>
          <t>One box covers this demo and the Cycle 10 liver work.</t>
        </is>
      </c>
      <c r="M30" s="21" t="inlineStr">
        <is>
          <t>Wet-lab bin</t>
        </is>
      </c>
      <c r="N30" s="21" t="inlineStr">
        <is>
          <t>—</t>
        </is>
      </c>
      <c r="O30" s="23" t="n">
        <v>8</v>
      </c>
      <c r="P30" s="21" t="inlineStr">
        <is>
          <t>—</t>
        </is>
      </c>
      <c r="Q30" s="21" t="inlineStr">
        <is>
          <t>LINK NEEDED</t>
        </is>
      </c>
    </row>
    <row r="31" ht="23.85" customHeight="1" s="14">
      <c r="A31" s="20" t="inlineStr">
        <is>
          <t>Q2</t>
        </is>
      </c>
      <c r="B31" s="21" t="inlineStr">
        <is>
          <t>Cellular Respiration &amp; Fermentation</t>
        </is>
      </c>
      <c r="C31" s="20" t="n">
        <v>6</v>
      </c>
      <c r="D31" s="21" t="inlineStr">
        <is>
          <t>Cycle 06 (CORE)</t>
        </is>
      </c>
      <c r="E31" s="21" t="inlineStr">
        <is>
          <t>Yeast Balloon Fermentation Lab (Day 2)</t>
        </is>
      </c>
      <c r="F31" s="21" t="inlineStr">
        <is>
          <t>Active dry yeast (1 packet per group)</t>
        </is>
      </c>
      <c r="G31" s="20" t="n">
        <v>1</v>
      </c>
      <c r="H31" s="22" t="n">
        <v>8</v>
      </c>
      <c r="I31" s="22" t="n">
        <v>3</v>
      </c>
      <c r="J31" s="20">
        <f>G31*H31*I31</f>
        <v/>
      </c>
      <c r="K31" s="20" t="inlineStr">
        <is>
          <t>Consumable</t>
        </is>
      </c>
      <c r="L31" s="21" t="inlineStr">
        <is>
          <t>Mix with sugar and warm tap water; include the no-sugar control.</t>
        </is>
      </c>
      <c r="M31" s="21" t="inlineStr">
        <is>
          <t>Supply shelf: wet-lab bin</t>
        </is>
      </c>
      <c r="N31" s="21" t="inlineStr">
        <is>
          <t>—</t>
        </is>
      </c>
      <c r="O31" s="23" t="n">
        <v>12</v>
      </c>
      <c r="P31" s="21" t="inlineStr">
        <is>
          <t>—</t>
        </is>
      </c>
      <c r="Q31" s="21" t="inlineStr">
        <is>
          <t>LINK NEEDED (grocery)</t>
        </is>
      </c>
    </row>
    <row r="32" ht="15" customHeight="1" s="14">
      <c r="A32" s="20" t="inlineStr">
        <is>
          <t>Q2</t>
        </is>
      </c>
      <c r="B32" s="21" t="inlineStr">
        <is>
          <t>Cellular Respiration &amp; Fermentation</t>
        </is>
      </c>
      <c r="C32" s="20" t="n">
        <v>6</v>
      </c>
      <c r="D32" s="21" t="inlineStr">
        <is>
          <t>Cycle 06 (CORE)</t>
        </is>
      </c>
      <c r="E32" s="21" t="inlineStr">
        <is>
          <t>Yeast Balloon Fermentation Lab (Day 2)</t>
        </is>
      </c>
      <c r="F32" s="21" t="inlineStr">
        <is>
          <t>Sugar (1 bag covers all classes)</t>
        </is>
      </c>
      <c r="G32" s="20" t="n">
        <v>1</v>
      </c>
      <c r="H32" s="22" t="n">
        <v>1</v>
      </c>
      <c r="I32" s="22" t="n">
        <v>1</v>
      </c>
      <c r="J32" s="20">
        <f>G32*H32*I32</f>
        <v/>
      </c>
      <c r="K32" s="20" t="inlineStr">
        <is>
          <t>Consumable</t>
        </is>
      </c>
      <c r="L32" s="21" t="inlineStr">
        <is>
          <t>Per-class item: groups set to 1.</t>
        </is>
      </c>
      <c r="M32" s="21" t="inlineStr">
        <is>
          <t>Supply shelf: wet-lab bin</t>
        </is>
      </c>
      <c r="N32" s="21" t="inlineStr">
        <is>
          <t>—</t>
        </is>
      </c>
      <c r="O32" s="23" t="n">
        <v>3</v>
      </c>
      <c r="P32" s="21" t="inlineStr">
        <is>
          <t>—</t>
        </is>
      </c>
      <c r="Q32" s="21" t="inlineStr">
        <is>
          <t>LINK NEEDED (grocery)</t>
        </is>
      </c>
    </row>
    <row r="33" ht="15" customHeight="1" s="14">
      <c r="A33" s="20" t="inlineStr">
        <is>
          <t>Q2</t>
        </is>
      </c>
      <c r="B33" s="21" t="inlineStr">
        <is>
          <t>Cellular Respiration &amp; Fermentation</t>
        </is>
      </c>
      <c r="C33" s="20" t="n">
        <v>6</v>
      </c>
      <c r="D33" s="21" t="inlineStr">
        <is>
          <t>Cycle 06 (CORE)</t>
        </is>
      </c>
      <c r="E33" s="21" t="inlineStr">
        <is>
          <t>Yeast Balloon Fermentation Lab (Day 2)</t>
        </is>
      </c>
      <c r="F33" s="21" t="inlineStr">
        <is>
          <t>Small bottles (plastic, ~500 mL)</t>
        </is>
      </c>
      <c r="G33" s="20" t="n">
        <v>2</v>
      </c>
      <c r="H33" s="22" t="n">
        <v>8</v>
      </c>
      <c r="I33" s="22" t="n">
        <v>1</v>
      </c>
      <c r="J33" s="20">
        <f>G33*H33*I33</f>
        <v/>
      </c>
      <c r="K33" s="20" t="inlineStr">
        <is>
          <t>Reusable</t>
        </is>
      </c>
      <c r="L33" s="21" t="inlineStr">
        <is>
          <t>Test bottle + no-sugar control per group; rinse between classes.</t>
        </is>
      </c>
      <c r="M33" s="21" t="inlineStr">
        <is>
          <t>Wet-lab bin</t>
        </is>
      </c>
      <c r="N33" s="21" t="inlineStr">
        <is>
          <t>—</t>
        </is>
      </c>
      <c r="O33" s="23" t="n">
        <v>6</v>
      </c>
      <c r="P33" s="21" t="inlineStr">
        <is>
          <t>Rinsed water bottles from recycling</t>
        </is>
      </c>
      <c r="Q33" s="21" t="inlineStr">
        <is>
          <t>—</t>
        </is>
      </c>
    </row>
    <row r="34" ht="35.05" customHeight="1" s="14">
      <c r="A34" s="20" t="inlineStr">
        <is>
          <t>Q2</t>
        </is>
      </c>
      <c r="B34" s="21" t="inlineStr">
        <is>
          <t>Cellular Respiration &amp; Fermentation</t>
        </is>
      </c>
      <c r="C34" s="20" t="n">
        <v>6</v>
      </c>
      <c r="D34" s="21" t="inlineStr">
        <is>
          <t>Cycle 06 (CORE)</t>
        </is>
      </c>
      <c r="E34" s="21" t="inlineStr">
        <is>
          <t>Yeast Balloon Fermentation Lab (Day 2)</t>
        </is>
      </c>
      <c r="F34" s="21" t="inlineStr">
        <is>
          <t>Balloons</t>
        </is>
      </c>
      <c r="G34" s="20" t="n">
        <v>2</v>
      </c>
      <c r="H34" s="22" t="n">
        <v>8</v>
      </c>
      <c r="I34" s="22" t="n">
        <v>3</v>
      </c>
      <c r="J34" s="20">
        <f>G34*H34*I34</f>
        <v/>
      </c>
      <c r="K34" s="20" t="inlineStr">
        <is>
          <t>Consumable</t>
        </is>
      </c>
      <c r="L34" s="21" t="inlineStr">
        <is>
          <t>The balloon seals out oxygen — CO2 inflates it anyway. Watching them inflate over 15–20 minutes is built-in transition work.</t>
        </is>
      </c>
      <c r="M34" s="21" t="inlineStr">
        <is>
          <t>Wet-lab bin</t>
        </is>
      </c>
      <c r="N34" s="21" t="inlineStr">
        <is>
          <t>—</t>
        </is>
      </c>
      <c r="O34" s="23" t="n">
        <v>5</v>
      </c>
      <c r="P34" s="21" t="inlineStr">
        <is>
          <t>—</t>
        </is>
      </c>
      <c r="Q34" s="21" t="inlineStr">
        <is>
          <t>LINK NEEDED</t>
        </is>
      </c>
    </row>
    <row r="35" ht="35.05" customHeight="1" s="14">
      <c r="A35" s="20" t="inlineStr">
        <is>
          <t>Q2</t>
        </is>
      </c>
      <c r="B35" s="21" t="inlineStr">
        <is>
          <t>Cellular Respiration &amp; Fermentation</t>
        </is>
      </c>
      <c r="C35" s="20" t="n">
        <v>6</v>
      </c>
      <c r="D35" s="21" t="inlineStr">
        <is>
          <t>Cycle 06 (CORE)</t>
        </is>
      </c>
      <c r="E35" s="21" t="inlineStr">
        <is>
          <t>Marshmallow burn (Arc 1 contrast)</t>
        </is>
      </c>
      <c r="F35" s="21" t="inlineStr">
        <is>
          <t>Marshmallows (1 bag)</t>
        </is>
      </c>
      <c r="G35" s="20" t="n">
        <v>1</v>
      </c>
      <c r="H35" s="22" t="n">
        <v>1</v>
      </c>
      <c r="I35" s="22" t="n">
        <v>1</v>
      </c>
      <c r="J35" s="20">
        <f>G35*H35*I35</f>
        <v/>
      </c>
      <c r="K35" s="20" t="inlineStr">
        <is>
          <t>Consumable</t>
        </is>
      </c>
      <c r="L35" s="21" t="inlineStr">
        <is>
          <t>Whether the burn is a live demo or a thought experiment is not specified — GAP — NOT IN SOURCE NOTES. Buy only if run live.</t>
        </is>
      </c>
      <c r="M35" s="21" t="inlineStr">
        <is>
          <t>Supply shelf</t>
        </is>
      </c>
      <c r="N35" s="21" t="inlineStr">
        <is>
          <t>If burned live: flame safety, teacher-only handling, no food eaten in lab.</t>
        </is>
      </c>
      <c r="O35" s="23" t="n">
        <v>3</v>
      </c>
      <c r="P35" s="21" t="inlineStr">
        <is>
          <t>Run it as the on-slide thought experiment</t>
        </is>
      </c>
      <c r="Q35" s="21" t="inlineStr">
        <is>
          <t>LINK NEEDED (grocery)</t>
        </is>
      </c>
    </row>
    <row r="36" ht="35.05" customHeight="1" s="14">
      <c r="A36" s="20" t="inlineStr">
        <is>
          <t>Q2</t>
        </is>
      </c>
      <c r="B36" s="21" t="inlineStr">
        <is>
          <t>Cellular Respiration &amp; Fermentation</t>
        </is>
      </c>
      <c r="C36" s="20" t="n">
        <v>6</v>
      </c>
      <c r="D36" s="21" t="inlineStr">
        <is>
          <t>Cycle 06 (CORE)</t>
        </is>
      </c>
      <c r="E36" s="21" t="inlineStr">
        <is>
          <t>'Releasing the Energy in Food' trace worksheet (Day 1)</t>
        </is>
      </c>
      <c r="F36" s="21" t="inlineStr">
        <is>
          <t>Printed CA1 worksheets (1 per student)</t>
        </is>
      </c>
      <c r="G36" s="20" t="n">
        <v>4</v>
      </c>
      <c r="H36" s="22" t="n">
        <v>8</v>
      </c>
      <c r="I36" s="22" t="n">
        <v>3</v>
      </c>
      <c r="J36" s="20">
        <f>G36*H36*I36</f>
        <v/>
      </c>
      <c r="K36" s="20" t="inlineStr">
        <is>
          <t>Consumable</t>
        </is>
      </c>
      <c r="L36" s="21" t="inlineStr">
        <is>
          <t>Print 1 per student.</t>
        </is>
      </c>
      <c r="M36" s="21" t="inlineStr">
        <is>
          <t>Hanging file: Cycle 06</t>
        </is>
      </c>
      <c r="N36" s="21" t="inlineStr">
        <is>
          <t>—</t>
        </is>
      </c>
      <c r="O36" s="23" t="n">
        <v>0</v>
      </c>
      <c r="P36" s="21" t="inlineStr">
        <is>
          <t>School copier</t>
        </is>
      </c>
      <c r="Q36" s="21" t="inlineStr">
        <is>
          <t>https://docs.google.com/document/d/1agVVkf3bK0TWcb6yVfgGTp24AL_iQdrObjEzARqEFnQ/edit</t>
        </is>
      </c>
    </row>
    <row r="37" ht="23.85" customHeight="1" s="14">
      <c r="A37" s="20" t="inlineStr">
        <is>
          <t>Q2</t>
        </is>
      </c>
      <c r="B37" s="21" t="inlineStr">
        <is>
          <t>Population Ecology &amp; Succession</t>
        </is>
      </c>
      <c r="C37" s="20" t="n">
        <v>7</v>
      </c>
      <c r="D37" s="21" t="inlineStr">
        <is>
          <t>Population Ecology (CORE) + Populations &amp; Succession (EXTEND)</t>
        </is>
      </c>
      <c r="E37" s="21" t="inlineStr">
        <is>
          <t>Anchoring Phenomena Research Assignment</t>
        </is>
      </c>
      <c r="F37" s="21" t="inlineStr">
        <is>
          <t>Printed research-assignment handouts (1 per student)</t>
        </is>
      </c>
      <c r="G37" s="20" t="n">
        <v>4</v>
      </c>
      <c r="H37" s="22" t="n">
        <v>8</v>
      </c>
      <c r="I37" s="22" t="n">
        <v>3</v>
      </c>
      <c r="J37" s="20">
        <f>G37*H37*I37</f>
        <v/>
      </c>
      <c r="K37" s="20" t="inlineStr">
        <is>
          <t>Consumable</t>
        </is>
      </c>
      <c r="L37" s="21" t="inlineStr">
        <is>
          <t>The assignment itself is SOURCE NOT YET LOCATED — locate or rebuild before teaching.</t>
        </is>
      </c>
      <c r="M37" s="21" t="inlineStr">
        <is>
          <t>Hanging file: Cycle 07</t>
        </is>
      </c>
      <c r="N37" s="21" t="inlineStr">
        <is>
          <t>—</t>
        </is>
      </c>
      <c r="O37" s="23" t="n">
        <v>0</v>
      </c>
      <c r="P37" s="21" t="inlineStr">
        <is>
          <t>School copier</t>
        </is>
      </c>
      <c r="Q37" s="21" t="inlineStr">
        <is>
          <t>—</t>
        </is>
      </c>
    </row>
    <row r="38" ht="23.85" customHeight="1" s="14">
      <c r="A38" s="20" t="inlineStr">
        <is>
          <t>Q2</t>
        </is>
      </c>
      <c r="B38" s="21" t="inlineStr">
        <is>
          <t>Population Ecology &amp; Succession</t>
        </is>
      </c>
      <c r="C38" s="20" t="n">
        <v>7</v>
      </c>
      <c r="D38" s="21" t="inlineStr">
        <is>
          <t>Population Ecology (CORE) + Populations &amp; Succession (EXTEND)</t>
        </is>
      </c>
      <c r="E38" s="21" t="inlineStr">
        <is>
          <t>Feeding Relationships in the Pacific Northwest</t>
        </is>
      </c>
      <c r="F38" s="21" t="inlineStr">
        <is>
          <t>Pacific NW species card sets — reuse the Cycle 02 sets</t>
        </is>
      </c>
      <c r="G38" s="20" t="n">
        <v>1</v>
      </c>
      <c r="H38" s="22" t="n">
        <v>8</v>
      </c>
      <c r="I38" s="22" t="n">
        <v>1</v>
      </c>
      <c r="J38" s="20">
        <f>G38*H38*I38</f>
        <v/>
      </c>
      <c r="K38" s="20" t="inlineStr">
        <is>
          <t>Reusable</t>
        </is>
      </c>
      <c r="L38" s="21" t="inlineStr">
        <is>
          <t>Reuse the Cycle 02 sets if you own that unit; otherwise print from the source PDF — one set per group. LINK NEEDED (PDF URL currently lives only in the Cycle 02 deck).</t>
        </is>
      </c>
      <c r="M38" s="21" t="inlineStr">
        <is>
          <t>Zip bags, one per group: Cycle 02</t>
        </is>
      </c>
      <c r="N38" s="21" t="inlineStr">
        <is>
          <t>—</t>
        </is>
      </c>
      <c r="O38" s="23" t="n">
        <v>0</v>
      </c>
      <c r="P38" s="21" t="inlineStr">
        <is>
          <t>—</t>
        </is>
      </c>
      <c r="Q38" s="21" t="inlineStr">
        <is>
          <t>—</t>
        </is>
      </c>
    </row>
    <row r="39" ht="46.25" customHeight="1" s="14">
      <c r="A39" s="20" t="inlineStr">
        <is>
          <t>Q2</t>
        </is>
      </c>
      <c r="B39" s="21" t="inlineStr">
        <is>
          <t>Population Ecology &amp; Succession</t>
        </is>
      </c>
      <c r="C39" s="20" t="n">
        <v>7</v>
      </c>
      <c r="D39" s="21" t="inlineStr">
        <is>
          <t>Population Ecology (CORE) + Populations &amp; Succession (EXTEND)</t>
        </is>
      </c>
      <c r="E39" s="21" t="inlineStr">
        <is>
          <t>Quadrat sampling model</t>
        </is>
      </c>
      <c r="F39" s="21" t="inlineStr">
        <is>
          <t>Quadrat sampling materials (unspecified)</t>
        </is>
      </c>
      <c r="G39" s="20" t="n">
        <v>1</v>
      </c>
      <c r="H39" s="22" t="n">
        <v>8</v>
      </c>
      <c r="I39" s="22" t="n">
        <v>1</v>
      </c>
      <c r="J39" s="20">
        <f>G39*H39*I39</f>
        <v/>
      </c>
      <c r="K39" s="20" t="inlineStr">
        <is>
          <t>Reusable</t>
        </is>
      </c>
      <c r="L39" s="21" t="inlineStr">
        <is>
          <t>GAP — NOT IN SOURCE NOTES: the deck announces the model but lists no materials or directions. Typical setup — a string/tape grid over a scattered 'population' of beans or paper dots, count and extrapolate. REVIEW WITH KATHERINE.</t>
        </is>
      </c>
      <c r="M39" s="21" t="inlineStr">
        <is>
          <t>Zip bag: Cycle 07</t>
        </is>
      </c>
      <c r="N39" s="21" t="inlineStr">
        <is>
          <t>—</t>
        </is>
      </c>
      <c r="O39" s="23" t="n">
        <v>5</v>
      </c>
      <c r="P39" s="21" t="inlineStr">
        <is>
          <t>String squares taped to desks + the Cycle 18 bean stock</t>
        </is>
      </c>
      <c r="Q39" s="21" t="inlineStr">
        <is>
          <t>—</t>
        </is>
      </c>
    </row>
    <row r="40" ht="23.85" customHeight="1" s="14">
      <c r="A40" s="20" t="inlineStr">
        <is>
          <t>Q2</t>
        </is>
      </c>
      <c r="B40" s="21" t="inlineStr">
        <is>
          <t>Cells &amp; Organelles</t>
        </is>
      </c>
      <c r="C40" s="20" t="n">
        <v>8</v>
      </c>
      <c r="D40" s="21" t="inlineStr">
        <is>
          <t>Intro to Cells (CORE) + Cell Organelles (EXTEND)</t>
        </is>
      </c>
      <c r="E40" s="21" t="inlineStr">
        <is>
          <t>Cell Organelle Graphic Organizer (EXTEND)</t>
        </is>
      </c>
      <c r="F40" s="21" t="inlineStr">
        <is>
          <t>Printed graphic organizers (1 per student)</t>
        </is>
      </c>
      <c r="G40" s="20" t="n">
        <v>4</v>
      </c>
      <c r="H40" s="22" t="n">
        <v>8</v>
      </c>
      <c r="I40" s="22" t="n">
        <v>3</v>
      </c>
      <c r="J40" s="20">
        <f>G40*H40*I40</f>
        <v/>
      </c>
      <c r="K40" s="20" t="inlineStr">
        <is>
          <t>Consumable</t>
        </is>
      </c>
      <c r="L40" s="21" t="inlineStr">
        <is>
          <t>The organizer document is SOURCE NOT YET LOCATED — locate or rebuild before teaching.</t>
        </is>
      </c>
      <c r="M40" s="21" t="inlineStr">
        <is>
          <t>Hanging file: Cycle 08</t>
        </is>
      </c>
      <c r="N40" s="21" t="inlineStr">
        <is>
          <t>—</t>
        </is>
      </c>
      <c r="O40" s="23" t="n">
        <v>0</v>
      </c>
      <c r="P40" s="21" t="inlineStr">
        <is>
          <t>School copier</t>
        </is>
      </c>
      <c r="Q40" s="21" t="inlineStr">
        <is>
          <t>—</t>
        </is>
      </c>
    </row>
    <row r="41" ht="23.85" customHeight="1" s="14">
      <c r="A41" s="20" t="inlineStr">
        <is>
          <t>Q2</t>
        </is>
      </c>
      <c r="B41" s="21" t="inlineStr">
        <is>
          <t>Cells &amp; Organelles</t>
        </is>
      </c>
      <c r="C41" s="20" t="n">
        <v>8</v>
      </c>
      <c r="D41" s="21" t="inlineStr">
        <is>
          <t>Intro to Cells (CORE) + Cell Organelles (EXTEND)</t>
        </is>
      </c>
      <c r="E41" s="21" t="inlineStr">
        <is>
          <t>Cell-coloring practice (EXTEND; attendance/transition work)</t>
        </is>
      </c>
      <c r="F41" s="21" t="inlineStr">
        <is>
          <t>Printed cell-coloring sheets (1 per student)</t>
        </is>
      </c>
      <c r="G41" s="20" t="n">
        <v>4</v>
      </c>
      <c r="H41" s="22" t="n">
        <v>8</v>
      </c>
      <c r="I41" s="22" t="n">
        <v>3</v>
      </c>
      <c r="J41" s="20">
        <f>G41*H41*I41</f>
        <v/>
      </c>
      <c r="K41" s="20" t="inlineStr">
        <is>
          <t>Consumable</t>
        </is>
      </c>
      <c r="L41" s="21" t="inlineStr">
        <is>
          <t>Coloring sheet SOURCE NOT YET LOCATED. Ideal attendance/transition/early-finisher work.</t>
        </is>
      </c>
      <c r="M41" s="21" t="inlineStr">
        <is>
          <t>Hanging file: Cycle 08</t>
        </is>
      </c>
      <c r="N41" s="21" t="inlineStr">
        <is>
          <t>—</t>
        </is>
      </c>
      <c r="O41" s="23" t="n">
        <v>0</v>
      </c>
      <c r="P41" s="21" t="inlineStr">
        <is>
          <t>School copier</t>
        </is>
      </c>
      <c r="Q41" s="21" t="inlineStr">
        <is>
          <t>—</t>
        </is>
      </c>
    </row>
    <row r="42" ht="23.85" customHeight="1" s="14">
      <c r="A42" s="20" t="inlineStr">
        <is>
          <t>Q2</t>
        </is>
      </c>
      <c r="B42" s="21" t="inlineStr">
        <is>
          <t>Cells &amp; Organelles</t>
        </is>
      </c>
      <c r="C42" s="20" t="n">
        <v>8</v>
      </c>
      <c r="D42" s="21" t="inlineStr">
        <is>
          <t>Intro to Cells (CORE) + Cell Organelles (EXTEND)</t>
        </is>
      </c>
      <c r="E42" s="21" t="inlineStr">
        <is>
          <t>Cell-coloring practice (EXTEND)</t>
        </is>
      </c>
      <c r="F42" s="21" t="inlineStr">
        <is>
          <t>Colored pencils (1 box per group)</t>
        </is>
      </c>
      <c r="G42" s="20" t="n">
        <v>1</v>
      </c>
      <c r="H42" s="22" t="n">
        <v>8</v>
      </c>
      <c r="I42" s="22" t="n">
        <v>1</v>
      </c>
      <c r="J42" s="20">
        <f>G42*H42*I42</f>
        <v/>
      </c>
      <c r="K42" s="20" t="inlineStr">
        <is>
          <t>Reusable</t>
        </is>
      </c>
      <c r="L42" s="21" t="inlineStr">
        <is>
          <t>Also used for Cycle 09 bilayer drawings.</t>
        </is>
      </c>
      <c r="M42" s="21" t="inlineStr">
        <is>
          <t>General classroom stock</t>
        </is>
      </c>
      <c r="N42" s="21" t="inlineStr">
        <is>
          <t>—</t>
        </is>
      </c>
      <c r="O42" s="23" t="n">
        <v>16</v>
      </c>
      <c r="P42" s="21" t="inlineStr">
        <is>
          <t>Existing classroom stock</t>
        </is>
      </c>
      <c r="Q42" s="21" t="inlineStr">
        <is>
          <t>LINK NEEDED</t>
        </is>
      </c>
    </row>
    <row r="43" ht="23.85" customHeight="1" s="14">
      <c r="A43" s="20" t="inlineStr">
        <is>
          <t>Q2</t>
        </is>
      </c>
      <c r="B43" s="21" t="inlineStr">
        <is>
          <t>Cell Membrane &amp; Transport</t>
        </is>
      </c>
      <c r="C43" s="20" t="n">
        <v>9</v>
      </c>
      <c r="D43" s="21" t="inlineStr">
        <is>
          <t>Cycle 09 (CORE)</t>
        </is>
      </c>
      <c r="E43" s="21" t="inlineStr">
        <is>
          <t>Screen-Door Sort (Day 1)</t>
        </is>
      </c>
      <c r="F43" s="21" t="inlineStr">
        <is>
          <t>Printed Screen-Door Sort card sets</t>
        </is>
      </c>
      <c r="G43" s="20" t="n">
        <v>1</v>
      </c>
      <c r="H43" s="22" t="n">
        <v>8</v>
      </c>
      <c r="I43" s="22" t="n">
        <v>1</v>
      </c>
      <c r="J43" s="20">
        <f>G43*H43*I43</f>
        <v/>
      </c>
      <c r="K43" s="20" t="inlineStr">
        <is>
          <t>Reusable</t>
        </is>
      </c>
      <c r="L43" s="21" t="inlineStr">
        <is>
          <t>Print + laminate one set per group; the cards re-sort for early finishers.</t>
        </is>
      </c>
      <c r="M43" s="21" t="inlineStr">
        <is>
          <t>Zip bags: Cycle 09</t>
        </is>
      </c>
      <c r="N43" s="21" t="inlineStr">
        <is>
          <t>—</t>
        </is>
      </c>
      <c r="O43" s="23" t="n">
        <v>4</v>
      </c>
      <c r="P43" s="21" t="inlineStr">
        <is>
          <t>Plain-paper sets, replaced yearly</t>
        </is>
      </c>
      <c r="Q43" s="21" t="inlineStr">
        <is>
          <t>—</t>
        </is>
      </c>
    </row>
    <row r="44" ht="15" customHeight="1" s="14">
      <c r="A44" s="20" t="inlineStr">
        <is>
          <t>Q2</t>
        </is>
      </c>
      <c r="B44" s="21" t="inlineStr">
        <is>
          <t>Cell Membrane &amp; Transport</t>
        </is>
      </c>
      <c r="C44" s="20" t="n">
        <v>9</v>
      </c>
      <c r="D44" s="21" t="inlineStr">
        <is>
          <t>Cycle 09 (CORE)</t>
        </is>
      </c>
      <c r="E44" s="21" t="inlineStr">
        <is>
          <t>Build-a-Bilayer (Day 2)</t>
        </is>
      </c>
      <c r="F44" s="21" t="inlineStr">
        <is>
          <t>Drawing paper (1 sheet per student)</t>
        </is>
      </c>
      <c r="G44" s="20" t="n">
        <v>4</v>
      </c>
      <c r="H44" s="22" t="n">
        <v>8</v>
      </c>
      <c r="I44" s="22" t="n">
        <v>3</v>
      </c>
      <c r="J44" s="20">
        <f>G44*H44*I44</f>
        <v/>
      </c>
      <c r="K44" s="20" t="inlineStr">
        <is>
          <t>Consumable</t>
        </is>
      </c>
      <c r="L44" s="21" t="inlineStr">
        <is>
          <t>Draw and label eight phospholipids arranged against water.</t>
        </is>
      </c>
      <c r="M44" s="21" t="inlineStr">
        <is>
          <t>Paper stock</t>
        </is>
      </c>
      <c r="N44" s="21" t="inlineStr">
        <is>
          <t>—</t>
        </is>
      </c>
      <c r="O44" s="23" t="n">
        <v>0</v>
      </c>
      <c r="P44" s="21" t="inlineStr">
        <is>
          <t>School copier paper</t>
        </is>
      </c>
      <c r="Q44" s="21" t="inlineStr">
        <is>
          <t>—</t>
        </is>
      </c>
    </row>
    <row r="45" ht="23.85" customHeight="1" s="14">
      <c r="A45" s="20" t="inlineStr">
        <is>
          <t>Q2</t>
        </is>
      </c>
      <c r="B45" s="21" t="inlineStr">
        <is>
          <t>Cell Membrane &amp; Transport</t>
        </is>
      </c>
      <c r="C45" s="20" t="n">
        <v>9</v>
      </c>
      <c r="D45" s="21" t="inlineStr">
        <is>
          <t>Cycle 09 (CORE)</t>
        </is>
      </c>
      <c r="E45" s="21" t="inlineStr">
        <is>
          <t>Oil, Water &amp; the Bilayer mini-lab (Day 3 challenge)</t>
        </is>
      </c>
      <c r="F45" s="21" t="inlineStr">
        <is>
          <t>Cooking oil + clear container (per-class demo)</t>
        </is>
      </c>
      <c r="G45" s="20" t="n">
        <v>1</v>
      </c>
      <c r="H45" s="22" t="n">
        <v>1</v>
      </c>
      <c r="I45" s="22" t="n">
        <v>1</v>
      </c>
      <c r="J45" s="20">
        <f>G45*H45*I45</f>
        <v/>
      </c>
      <c r="K45" s="20" t="inlineStr">
        <is>
          <t>Consumable</t>
        </is>
      </c>
      <c r="L45" s="21" t="inlineStr">
        <is>
          <t>One bottle of oil and one clear jar; water from the tap. Per-class demo: groups set to 1.</t>
        </is>
      </c>
      <c r="M45" s="21" t="inlineStr">
        <is>
          <t>Supply shelf: wet-lab bin</t>
        </is>
      </c>
      <c r="N45" s="21" t="inlineStr">
        <is>
          <t>—</t>
        </is>
      </c>
      <c r="O45" s="23" t="n">
        <v>4</v>
      </c>
      <c r="P45" s="21" t="inlineStr">
        <is>
          <t>—</t>
        </is>
      </c>
      <c r="Q45" s="21" t="inlineStr">
        <is>
          <t>LINK NEEDED (grocery)</t>
        </is>
      </c>
    </row>
    <row r="46" ht="23.85" customHeight="1" s="14">
      <c r="A46" s="20" t="inlineStr">
        <is>
          <t>Q2</t>
        </is>
      </c>
      <c r="B46" s="21" t="inlineStr">
        <is>
          <t>Enzymes</t>
        </is>
      </c>
      <c r="C46" s="20" t="n">
        <v>10</v>
      </c>
      <c r="D46" s="21" t="inlineStr">
        <is>
          <t>Cycle 10 (CORE)</t>
        </is>
      </c>
      <c r="E46" s="21" t="inlineStr">
        <is>
          <t>Potato &amp; Peroxide demo + Temperature &amp; pH Lab</t>
        </is>
      </c>
      <c r="F46" s="21" t="inlineStr">
        <is>
          <t>3% hydrogen peroxide (2 bottles per class)</t>
        </is>
      </c>
      <c r="G46" s="20" t="n">
        <v>2</v>
      </c>
      <c r="H46" s="22" t="n">
        <v>1</v>
      </c>
      <c r="I46" s="22" t="n">
        <v>3</v>
      </c>
      <c r="J46" s="20">
        <f>G46*H46*I46</f>
        <v/>
      </c>
      <c r="K46" s="20" t="inlineStr">
        <is>
          <t>Consumable</t>
        </is>
      </c>
      <c r="L46" s="21" t="inlineStr">
        <is>
          <t>Drugstore 3%. Per-class item: groups set to 1.</t>
        </is>
      </c>
      <c r="M46" s="21" t="inlineStr">
        <is>
          <t>Chemical shelf, dark bottle</t>
        </is>
      </c>
      <c r="N46" s="21" t="inlineStr">
        <is>
          <t>Low-risk at 3% — goggles on; rinse skin splashes.</t>
        </is>
      </c>
      <c r="O46" s="23" t="n">
        <v>6</v>
      </c>
      <c r="P46" s="21" t="inlineStr">
        <is>
          <t>—</t>
        </is>
      </c>
      <c r="Q46" s="21" t="inlineStr">
        <is>
          <t>LINK NEEDED (drugstore)</t>
        </is>
      </c>
    </row>
    <row r="47" ht="23.85" customHeight="1" s="14">
      <c r="A47" s="20" t="inlineStr">
        <is>
          <t>Q2</t>
        </is>
      </c>
      <c r="B47" s="21" t="inlineStr">
        <is>
          <t>Enzymes</t>
        </is>
      </c>
      <c r="C47" s="20" t="n">
        <v>10</v>
      </c>
      <c r="D47" s="21" t="inlineStr">
        <is>
          <t>Cycle 10 (CORE)</t>
        </is>
      </c>
      <c r="E47" s="21" t="inlineStr">
        <is>
          <t>Potato &amp; Peroxide demo + Day 2 callback</t>
        </is>
      </c>
      <c r="F47" s="21" t="inlineStr">
        <is>
          <t>Raw potatoes (3 per class) + 1 boiled ahead</t>
        </is>
      </c>
      <c r="G47" s="20" t="n">
        <v>3</v>
      </c>
      <c r="H47" s="22" t="n">
        <v>1</v>
      </c>
      <c r="I47" s="22" t="n">
        <v>3</v>
      </c>
      <c r="J47" s="20">
        <f>G47*H47*I47</f>
        <v/>
      </c>
      <c r="K47" s="20" t="inlineStr">
        <is>
          <t>Consumable</t>
        </is>
      </c>
      <c r="L47" s="21" t="inlineStr">
        <is>
          <t>Cut fresh day-of. Boil one potato ahead for the Day 2 denaturing callback — a boiled potato will not foam.</t>
        </is>
      </c>
      <c r="M47" s="21" t="inlineStr">
        <is>
          <t>Refrigerator until lab day</t>
        </is>
      </c>
      <c r="N47" s="21" t="inlineStr">
        <is>
          <t>—</t>
        </is>
      </c>
      <c r="O47" s="23" t="n">
        <v>4</v>
      </c>
      <c r="P47" s="21" t="inlineStr">
        <is>
          <t>—</t>
        </is>
      </c>
      <c r="Q47" s="21" t="inlineStr">
        <is>
          <t>LINK NEEDED (grocery)</t>
        </is>
      </c>
    </row>
    <row r="48" ht="23.85" customHeight="1" s="14">
      <c r="A48" s="20" t="inlineStr">
        <is>
          <t>Q2</t>
        </is>
      </c>
      <c r="B48" s="21" t="inlineStr">
        <is>
          <t>Enzymes</t>
        </is>
      </c>
      <c r="C48" s="20" t="n">
        <v>10</v>
      </c>
      <c r="D48" s="21" t="inlineStr">
        <is>
          <t>Cycle 10 (CORE)</t>
        </is>
      </c>
      <c r="E48" s="21" t="inlineStr">
        <is>
          <t>Liver-Catalase Lab (Day 3 challenge)</t>
        </is>
      </c>
      <c r="F48" s="21" t="inlineStr">
        <is>
          <t>Raw liver (1 pack; 'works even stronger')</t>
        </is>
      </c>
      <c r="G48" s="20" t="n">
        <v>1</v>
      </c>
      <c r="H48" s="22" t="n">
        <v>1</v>
      </c>
      <c r="I48" s="22" t="n">
        <v>1</v>
      </c>
      <c r="J48" s="20">
        <f>G48*H48*I48</f>
        <v/>
      </c>
      <c r="K48" s="20" t="inlineStr">
        <is>
          <t>Consumable</t>
        </is>
      </c>
      <c r="L48" s="21" t="inlineStr">
        <is>
          <t>Reuse the same liver piece in fresh peroxide — that IS the point.</t>
        </is>
      </c>
      <c r="M48" s="21" t="inlineStr">
        <is>
          <t>Refrigerator until lab day</t>
        </is>
      </c>
      <c r="N48" s="21" t="inlineStr">
        <is>
          <t>Raw meat: gloves, wipe surfaces, wash hands.</t>
        </is>
      </c>
      <c r="O48" s="23" t="n">
        <v>4</v>
      </c>
      <c r="P48" s="21" t="inlineStr">
        <is>
          <t>Skip the challenge; potato only</t>
        </is>
      </c>
      <c r="Q48" s="21" t="inlineStr">
        <is>
          <t>LINK NEEDED (grocery)</t>
        </is>
      </c>
    </row>
    <row r="49" ht="15" customHeight="1" s="14">
      <c r="A49" s="20" t="inlineStr">
        <is>
          <t>Q2</t>
        </is>
      </c>
      <c r="B49" s="21" t="inlineStr">
        <is>
          <t>Enzymes</t>
        </is>
      </c>
      <c r="C49" s="20" t="n">
        <v>10</v>
      </c>
      <c r="D49" s="21" t="inlineStr">
        <is>
          <t>Cycle 10 (CORE)</t>
        </is>
      </c>
      <c r="E49" s="21" t="inlineStr">
        <is>
          <t>Potato &amp; Peroxide demo</t>
        </is>
      </c>
      <c r="F49" s="21" t="inlineStr">
        <is>
          <t>White plates or trays</t>
        </is>
      </c>
      <c r="G49" s="20" t="n">
        <v>1</v>
      </c>
      <c r="H49" s="22" t="n">
        <v>8</v>
      </c>
      <c r="I49" s="22" t="n">
        <v>1</v>
      </c>
      <c r="J49" s="20">
        <f>G49*H49*I49</f>
        <v/>
      </c>
      <c r="K49" s="20" t="inlineStr">
        <is>
          <t>Reusable</t>
        </is>
      </c>
      <c r="L49" s="21" t="inlineStr">
        <is>
          <t>Foam shows against white.</t>
        </is>
      </c>
      <c r="M49" s="21" t="inlineStr">
        <is>
          <t>Wet-lab bin</t>
        </is>
      </c>
      <c r="N49" s="21" t="inlineStr">
        <is>
          <t>—</t>
        </is>
      </c>
      <c r="O49" s="23" t="n">
        <v>6</v>
      </c>
      <c r="P49" s="21" t="inlineStr">
        <is>
          <t>Paper plates (consumable)</t>
        </is>
      </c>
      <c r="Q49" s="21" t="inlineStr">
        <is>
          <t>LINK NEEDED</t>
        </is>
      </c>
    </row>
    <row r="50" ht="15" customHeight="1" s="14">
      <c r="A50" s="20" t="inlineStr">
        <is>
          <t>Q2</t>
        </is>
      </c>
      <c r="B50" s="21" t="inlineStr">
        <is>
          <t>Enzymes</t>
        </is>
      </c>
      <c r="C50" s="20" t="n">
        <v>10</v>
      </c>
      <c r="D50" s="21" t="inlineStr">
        <is>
          <t>Cycle 10 (CORE)</t>
        </is>
      </c>
      <c r="E50" s="21" t="inlineStr">
        <is>
          <t>All Cycle 10 wet work</t>
        </is>
      </c>
      <c r="F50" s="21" t="inlineStr">
        <is>
          <t>Paper towels (1 roll per class)</t>
        </is>
      </c>
      <c r="G50" s="20" t="n">
        <v>1</v>
      </c>
      <c r="H50" s="22" t="n">
        <v>1</v>
      </c>
      <c r="I50" s="22" t="n">
        <v>3</v>
      </c>
      <c r="J50" s="20">
        <f>G50*H50*I50</f>
        <v/>
      </c>
      <c r="K50" s="20" t="inlineStr">
        <is>
          <t>Consumable</t>
        </is>
      </c>
      <c r="L50" s="21" t="inlineStr">
        <is>
          <t>—</t>
        </is>
      </c>
      <c r="M50" s="21" t="inlineStr">
        <is>
          <t>Wet-lab bin</t>
        </is>
      </c>
      <c r="N50" s="21" t="inlineStr">
        <is>
          <t>—</t>
        </is>
      </c>
      <c r="O50" s="23" t="n">
        <v>3</v>
      </c>
      <c r="P50" s="21" t="inlineStr">
        <is>
          <t>—</t>
        </is>
      </c>
      <c r="Q50" s="21" t="inlineStr">
        <is>
          <t>LINK NEEDED (grocery)</t>
        </is>
      </c>
    </row>
    <row r="51" ht="15" customHeight="1" s="14">
      <c r="A51" s="20" t="inlineStr">
        <is>
          <t>Q2</t>
        </is>
      </c>
      <c r="B51" s="21" t="inlineStr">
        <is>
          <t>Enzymes</t>
        </is>
      </c>
      <c r="C51" s="20" t="n">
        <v>10</v>
      </c>
      <c r="D51" s="21" t="inlineStr">
        <is>
          <t>Cycle 10 (CORE)</t>
        </is>
      </c>
      <c r="E51" s="21" t="inlineStr">
        <is>
          <t>Activation-Energy Hill (Day 1)</t>
        </is>
      </c>
      <c r="F51" s="21" t="inlineStr">
        <is>
          <t>Marble + cardboard hill</t>
        </is>
      </c>
      <c r="G51" s="20" t="n">
        <v>1</v>
      </c>
      <c r="H51" s="22" t="n">
        <v>8</v>
      </c>
      <c r="I51" s="22" t="n">
        <v>1</v>
      </c>
      <c r="J51" s="20">
        <f>G51*H51*I51</f>
        <v/>
      </c>
      <c r="K51" s="20" t="inlineStr">
        <is>
          <t>Reusable</t>
        </is>
      </c>
      <c r="L51" s="21" t="inlineStr">
        <is>
          <t>Score and fold cardboard into a hill that can be lowered.</t>
        </is>
      </c>
      <c r="M51" s="21" t="inlineStr">
        <is>
          <t>Zip bag: Cycle 10</t>
        </is>
      </c>
      <c r="N51" s="21" t="inlineStr">
        <is>
          <t>—</t>
        </is>
      </c>
      <c r="O51" s="23" t="n">
        <v>3</v>
      </c>
      <c r="P51" s="21" t="inlineStr">
        <is>
          <t>Any small ball + a manila folder</t>
        </is>
      </c>
      <c r="Q51" s="21" t="inlineStr">
        <is>
          <t>—</t>
        </is>
      </c>
    </row>
    <row r="52" ht="15" customHeight="1" s="14">
      <c r="A52" s="20" t="inlineStr">
        <is>
          <t>Q2</t>
        </is>
      </c>
      <c r="B52" s="21" t="inlineStr">
        <is>
          <t>Enzymes</t>
        </is>
      </c>
      <c r="C52" s="20" t="n">
        <v>10</v>
      </c>
      <c r="D52" s="21" t="inlineStr">
        <is>
          <t>Cycle 10 (CORE)</t>
        </is>
      </c>
      <c r="E52" s="21" t="inlineStr">
        <is>
          <t>Lock &amp; Key Match (Day 1–2)</t>
        </is>
      </c>
      <c r="F52" s="21" t="inlineStr">
        <is>
          <t>Scissors</t>
        </is>
      </c>
      <c r="G52" s="20" t="n">
        <v>2</v>
      </c>
      <c r="H52" s="22" t="n">
        <v>8</v>
      </c>
      <c r="I52" s="22" t="n">
        <v>1</v>
      </c>
      <c r="J52" s="20">
        <f>G52*H52*I52</f>
        <v/>
      </c>
      <c r="K52" s="20" t="inlineStr">
        <is>
          <t>Reusable</t>
        </is>
      </c>
      <c r="L52" s="21" t="inlineStr">
        <is>
          <t>—</t>
        </is>
      </c>
      <c r="M52" s="21" t="inlineStr">
        <is>
          <t>General classroom stock</t>
        </is>
      </c>
      <c r="N52" s="21" t="inlineStr">
        <is>
          <t>—</t>
        </is>
      </c>
      <c r="O52" s="23" t="n">
        <v>10</v>
      </c>
      <c r="P52" s="21" t="inlineStr">
        <is>
          <t>Borrow a class set</t>
        </is>
      </c>
      <c r="Q52" s="21" t="inlineStr">
        <is>
          <t>LINK NEEDED</t>
        </is>
      </c>
    </row>
    <row r="53" ht="23.85" customHeight="1" s="14">
      <c r="A53" s="20" t="inlineStr">
        <is>
          <t>Q2</t>
        </is>
      </c>
      <c r="B53" s="21" t="inlineStr">
        <is>
          <t>Enzymes</t>
        </is>
      </c>
      <c r="C53" s="20" t="n">
        <v>10</v>
      </c>
      <c r="D53" s="21" t="inlineStr">
        <is>
          <t>Cycle 10 (CORE)</t>
        </is>
      </c>
      <c r="E53" s="21" t="inlineStr">
        <is>
          <t>Lock &amp; Key Match (Day 1–2)</t>
        </is>
      </c>
      <c r="F53" s="21" t="inlineStr">
        <is>
          <t>Printed Lock &amp; Key cutout sheets (incl. the deliberately warped active site)</t>
        </is>
      </c>
      <c r="G53" s="20" t="n">
        <v>1</v>
      </c>
      <c r="H53" s="22" t="n">
        <v>8</v>
      </c>
      <c r="I53" s="22" t="n">
        <v>3</v>
      </c>
      <c r="J53" s="20">
        <f>G53*H53*I53</f>
        <v/>
      </c>
      <c r="K53" s="20" t="inlineStr">
        <is>
          <t>Consumable</t>
        </is>
      </c>
      <c r="L53" s="21" t="inlineStr">
        <is>
          <t>The cutouts double as transition puzzles (fiddle).</t>
        </is>
      </c>
      <c r="M53" s="21" t="inlineStr">
        <is>
          <t>Hanging file: Cycle 10</t>
        </is>
      </c>
      <c r="N53" s="21" t="inlineStr">
        <is>
          <t>—</t>
        </is>
      </c>
      <c r="O53" s="23" t="n">
        <v>0</v>
      </c>
      <c r="P53" s="21" t="inlineStr">
        <is>
          <t>School copier</t>
        </is>
      </c>
      <c r="Q53" s="21" t="inlineStr">
        <is>
          <t>—</t>
        </is>
      </c>
    </row>
    <row r="54" ht="15" customHeight="1" s="14">
      <c r="A54" s="20" t="inlineStr">
        <is>
          <t>Q2</t>
        </is>
      </c>
      <c r="B54" s="21" t="inlineStr">
        <is>
          <t>Enzymes</t>
        </is>
      </c>
      <c r="C54" s="20" t="n">
        <v>10</v>
      </c>
      <c r="D54" s="21" t="inlineStr">
        <is>
          <t>Cycle 10 (CORE)</t>
        </is>
      </c>
      <c r="E54" s="21" t="inlineStr">
        <is>
          <t>Temperature &amp; pH Lab (Day 2)</t>
        </is>
      </c>
      <c r="F54" s="21" t="inlineStr">
        <is>
          <t>Containers for hot/cold water baths</t>
        </is>
      </c>
      <c r="G54" s="20" t="n">
        <v>2</v>
      </c>
      <c r="H54" s="22" t="n">
        <v>8</v>
      </c>
      <c r="I54" s="22" t="n">
        <v>1</v>
      </c>
      <c r="J54" s="20">
        <f>G54*H54*I54</f>
        <v/>
      </c>
      <c r="K54" s="20" t="inlineStr">
        <is>
          <t>Reusable</t>
        </is>
      </c>
      <c r="L54" s="21" t="inlineStr">
        <is>
          <t>Any plastic containers; hot tap water and ice water.</t>
        </is>
      </c>
      <c r="M54" s="21" t="inlineStr">
        <is>
          <t>Cabinet: lab equipment</t>
        </is>
      </c>
      <c r="N54" s="21" t="inlineStr">
        <is>
          <t>—</t>
        </is>
      </c>
      <c r="O54" s="23" t="n">
        <v>8</v>
      </c>
      <c r="P54" s="21" t="inlineStr">
        <is>
          <t>Beakers borrowed from the department</t>
        </is>
      </c>
      <c r="Q54" s="21" t="inlineStr">
        <is>
          <t>—</t>
        </is>
      </c>
    </row>
    <row r="55" ht="46.25" customHeight="1" s="14">
      <c r="A55" s="20" t="inlineStr">
        <is>
          <t>Q2</t>
        </is>
      </c>
      <c r="B55" s="21" t="inlineStr">
        <is>
          <t>Enzymes</t>
        </is>
      </c>
      <c r="C55" s="20" t="n">
        <v>10</v>
      </c>
      <c r="D55" s="21" t="inlineStr">
        <is>
          <t>Cycle 10 (CORE)</t>
        </is>
      </c>
      <c r="E55" s="21" t="inlineStr">
        <is>
          <t>Temperature &amp; pH Lab (Day 2)</t>
        </is>
      </c>
      <c r="F55" s="21" t="inlineStr">
        <is>
          <t>pH solutions (vinegar; baking-soda solution)</t>
        </is>
      </c>
      <c r="G55" s="20" t="n">
        <v>1</v>
      </c>
      <c r="H55" s="22" t="n">
        <v>1</v>
      </c>
      <c r="I55" s="22" t="n">
        <v>3</v>
      </c>
      <c r="J55" s="20">
        <f>G55*H55*I55</f>
        <v/>
      </c>
      <c r="K55" s="20" t="inlineStr">
        <is>
          <t>Consumable</t>
        </is>
      </c>
      <c r="L55" s="21" t="inlineStr">
        <is>
          <t>Mix a weak-acid-to-weak-base range from vinegar and baking soda (external lab guide). Per-class item: groups set to 1.</t>
        </is>
      </c>
      <c r="M55" s="21" t="inlineStr">
        <is>
          <t>Chemical shelf, labeled</t>
        </is>
      </c>
      <c r="N55" s="21" t="inlineStr">
        <is>
          <t>Household-strength only; goggles on.</t>
        </is>
      </c>
      <c r="O55" s="23" t="n">
        <v>3</v>
      </c>
      <c r="P55" s="21" t="inlineStr">
        <is>
          <t>—</t>
        </is>
      </c>
      <c r="Q55" s="21" t="inlineStr">
        <is>
          <t>https://www.sciencebuddies.org/science-fair-projects/project-ideas/BioChem_p012/biotechnology-techniques/how-enzyme-activity-changes-with-temperature</t>
        </is>
      </c>
    </row>
    <row r="56" ht="23.85" customHeight="1" s="14">
      <c r="A56" s="20" t="inlineStr">
        <is>
          <t>Q2</t>
        </is>
      </c>
      <c r="B56" s="21" t="inlineStr">
        <is>
          <t>Enzymes</t>
        </is>
      </c>
      <c r="C56" s="20" t="n">
        <v>10</v>
      </c>
      <c r="D56" s="21" t="inlineStr">
        <is>
          <t>Cycle 10 (CORE)</t>
        </is>
      </c>
      <c r="E56" s="21" t="inlineStr">
        <is>
          <t>Temperature &amp; pH Lab graphing (also Cycle 18)</t>
        </is>
      </c>
      <c r="F56" s="21" t="inlineStr">
        <is>
          <t>Graph paper (1 sheet per student)</t>
        </is>
      </c>
      <c r="G56" s="20" t="n">
        <v>4</v>
      </c>
      <c r="H56" s="22" t="n">
        <v>8</v>
      </c>
      <c r="I56" s="22" t="n">
        <v>3</v>
      </c>
      <c r="J56" s="20">
        <f>G56*H56*I56</f>
        <v/>
      </c>
      <c r="K56" s="20" t="inlineStr">
        <is>
          <t>Consumable</t>
        </is>
      </c>
      <c r="L56" s="21" t="inlineStr">
        <is>
          <t>Same stock serves Cycle 18.</t>
        </is>
      </c>
      <c r="M56" s="21" t="inlineStr">
        <is>
          <t>Paper stock</t>
        </is>
      </c>
      <c r="N56" s="21" t="inlineStr">
        <is>
          <t>—</t>
        </is>
      </c>
      <c r="O56" s="23" t="n">
        <v>0</v>
      </c>
      <c r="P56" s="21" t="inlineStr">
        <is>
          <t>School copier</t>
        </is>
      </c>
      <c r="Q56" s="21" t="inlineStr">
        <is>
          <t>—</t>
        </is>
      </c>
    </row>
    <row r="57" ht="15" customHeight="1" s="14">
      <c r="A57" s="20" t="inlineStr">
        <is>
          <t>Q3</t>
        </is>
      </c>
      <c r="B57" s="21" t="inlineStr">
        <is>
          <t>The Cell Cycle → Cancer</t>
        </is>
      </c>
      <c r="C57" s="20" t="n">
        <v>11</v>
      </c>
      <c r="D57" s="21" t="inlineStr">
        <is>
          <t>Cycle 11 (CORE)</t>
        </is>
      </c>
      <c r="E57" s="21" t="inlineStr">
        <is>
          <t>Be the Checkpoint (Day 1)</t>
        </is>
      </c>
      <c r="F57" s="21" t="inlineStr">
        <is>
          <t>Printed checkpoint condition card sets</t>
        </is>
      </c>
      <c r="G57" s="20" t="n">
        <v>1</v>
      </c>
      <c r="H57" s="22" t="n">
        <v>8</v>
      </c>
      <c r="I57" s="22" t="n">
        <v>1</v>
      </c>
      <c r="J57" s="20">
        <f>G57*H57*I57</f>
        <v/>
      </c>
      <c r="K57" s="20" t="inlineStr">
        <is>
          <t>Reusable</t>
        </is>
      </c>
      <c r="L57" s="21" t="inlineStr">
        <is>
          <t>Print + laminate; the cards re-deal as a quick game (fiddle).</t>
        </is>
      </c>
      <c r="M57" s="21" t="inlineStr">
        <is>
          <t>Zip bags: Cycle 11</t>
        </is>
      </c>
      <c r="N57" s="21" t="inlineStr">
        <is>
          <t>—</t>
        </is>
      </c>
      <c r="O57" s="23" t="n">
        <v>3</v>
      </c>
      <c r="P57" s="21" t="inlineStr">
        <is>
          <t>Plain-paper sets, replaced yearly</t>
        </is>
      </c>
      <c r="Q57" s="21" t="inlineStr">
        <is>
          <t>—</t>
        </is>
      </c>
    </row>
    <row r="58" ht="23.85" customHeight="1" s="14">
      <c r="A58" s="20" t="inlineStr">
        <is>
          <t>Q3</t>
        </is>
      </c>
      <c r="B58" s="21" t="inlineStr">
        <is>
          <t>The Cell Cycle → Cancer</t>
        </is>
      </c>
      <c r="C58" s="20" t="n">
        <v>11</v>
      </c>
      <c r="D58" s="21" t="inlineStr">
        <is>
          <t>Cycle 11 (CORE)</t>
        </is>
      </c>
      <c r="E58" s="21" t="inlineStr">
        <is>
          <t>Cancer case study (Day 2)</t>
        </is>
      </c>
      <c r="F58" s="21" t="inlineStr">
        <is>
          <t>Printed case-study handouts (1 per student)</t>
        </is>
      </c>
      <c r="G58" s="20" t="n">
        <v>4</v>
      </c>
      <c r="H58" s="22" t="n">
        <v>8</v>
      </c>
      <c r="I58" s="22" t="n">
        <v>3</v>
      </c>
      <c r="J58" s="20">
        <f>G58*H58*I58</f>
        <v/>
      </c>
      <c r="K58" s="20" t="inlineStr">
        <is>
          <t>Consumable</t>
        </is>
      </c>
      <c r="L58" s="21" t="inlineStr">
        <is>
          <t>The case-study handout is SOURCE NOT YET LOCATED — locate or rebuild before teaching.</t>
        </is>
      </c>
      <c r="M58" s="21" t="inlineStr">
        <is>
          <t>Hanging file: Cycle 11</t>
        </is>
      </c>
      <c r="N58" s="21" t="inlineStr">
        <is>
          <t>—</t>
        </is>
      </c>
      <c r="O58" s="23" t="n">
        <v>0</v>
      </c>
      <c r="P58" s="21" t="inlineStr">
        <is>
          <t>School copier</t>
        </is>
      </c>
      <c r="Q58" s="21" t="inlineStr">
        <is>
          <t>—</t>
        </is>
      </c>
    </row>
    <row r="59" ht="35.05" customHeight="1" s="14">
      <c r="A59" s="20" t="inlineStr">
        <is>
          <t>Q3</t>
        </is>
      </c>
      <c r="B59" s="21" t="inlineStr">
        <is>
          <t>Reproduction &amp; Meiosis</t>
        </is>
      </c>
      <c r="C59" s="20" t="n">
        <v>12</v>
      </c>
      <c r="D59" s="21" t="inlineStr">
        <is>
          <t>The Process of Meiosis (CORE — SOURCE NOT YET LOCATED) + Reproduction &amp; Meiosis (EXTEND)</t>
        </is>
      </c>
      <c r="E59" s="21" t="inlineStr">
        <is>
          <t>Pop Bead Meiosis lab (CORE, per Unit Descriptions)</t>
        </is>
      </c>
      <c r="F59" s="21" t="inlineStr">
        <is>
          <t>Pop bead kits</t>
        </is>
      </c>
      <c r="G59" s="20" t="n">
        <v>1</v>
      </c>
      <c r="H59" s="22" t="n">
        <v>8</v>
      </c>
      <c r="I59" s="22" t="n">
        <v>1</v>
      </c>
      <c r="J59" s="20">
        <f>G59*H59*I59</f>
        <v/>
      </c>
      <c r="K59" s="20" t="inlineStr">
        <is>
          <t>Reusable</t>
        </is>
      </c>
      <c r="L59" s="21" t="inlineStr">
        <is>
          <t>HOLD this purchase — the Process of Meiosis deck that carries the Pop Bead lab is SOURCE NOT YET LOCATED. The CORE deck itself is SOURCE NOT YET LOCATED; the lab is named in the Unit Descriptions. Count beads back in after each class.</t>
        </is>
      </c>
      <c r="M59" s="21" t="inlineStr">
        <is>
          <t>Kit boxes: Cycle 12</t>
        </is>
      </c>
      <c r="N59" s="21" t="inlineStr">
        <is>
          <t>—</t>
        </is>
      </c>
      <c r="O59" s="23" t="n">
        <v>120</v>
      </c>
      <c r="P59" s="21" t="inlineStr">
        <is>
          <t>Colored paper clips chained as chromosomes</t>
        </is>
      </c>
      <c r="Q59" s="21" t="inlineStr">
        <is>
          <t>LINK NEEDED (science supplier)</t>
        </is>
      </c>
    </row>
    <row r="60" ht="35.05" customHeight="1" s="14">
      <c r="A60" s="20" t="inlineStr">
        <is>
          <t>Q3</t>
        </is>
      </c>
      <c r="B60" s="21" t="inlineStr">
        <is>
          <t>Mendelian Genetics &amp; Punnett Squares</t>
        </is>
      </c>
      <c r="C60" s="20" t="n">
        <v>13</v>
      </c>
      <c r="D60" s="21" t="inlineStr">
        <is>
          <t>Mendelian Genetics (CORE) + Genetics Continued — Punnett (EXTEND)</t>
        </is>
      </c>
      <c r="E60" s="21" t="inlineStr">
        <is>
          <t>Traits inventory with class data (CORE)</t>
        </is>
      </c>
      <c r="F60" s="21" t="inlineStr">
        <is>
          <t>Printed traits inventory sheets (1 per student)</t>
        </is>
      </c>
      <c r="G60" s="20" t="n">
        <v>4</v>
      </c>
      <c r="H60" s="22" t="n">
        <v>8</v>
      </c>
      <c r="I60" s="22" t="n">
        <v>3</v>
      </c>
      <c r="J60" s="20">
        <f>G60*H60*I60</f>
        <v/>
      </c>
      <c r="K60" s="20" t="inlineStr">
        <is>
          <t>Consumable</t>
        </is>
      </c>
      <c r="L60" s="21" t="inlineStr">
        <is>
          <t>The sheet is SOURCE NOT YET LOCATED — locate or rebuild before teaching.</t>
        </is>
      </c>
      <c r="M60" s="21" t="inlineStr">
        <is>
          <t>Hanging file: Cycle 13</t>
        </is>
      </c>
      <c r="N60" s="21" t="inlineStr">
        <is>
          <t>—</t>
        </is>
      </c>
      <c r="O60" s="23" t="n">
        <v>0</v>
      </c>
      <c r="P60" s="21" t="inlineStr">
        <is>
          <t>School copier</t>
        </is>
      </c>
      <c r="Q60" s="21" t="inlineStr">
        <is>
          <t>—</t>
        </is>
      </c>
    </row>
    <row r="61" ht="35.05" customHeight="1" s="14">
      <c r="A61" s="20" t="inlineStr">
        <is>
          <t>Q3</t>
        </is>
      </c>
      <c r="B61" s="21" t="inlineStr">
        <is>
          <t>Mendelian Genetics &amp; Punnett Squares</t>
        </is>
      </c>
      <c r="C61" s="20" t="n">
        <v>13</v>
      </c>
      <c r="D61" s="21" t="inlineStr">
        <is>
          <t>Mendelian Genetics (CORE) + Genetics Continued — Punnett (EXTEND)</t>
        </is>
      </c>
      <c r="E61" s="21" t="inlineStr">
        <is>
          <t>PTC taste test (EXTEND)</t>
        </is>
      </c>
      <c r="F61" s="21" t="inlineStr">
        <is>
          <t>PTC test-paper strips (1 per student; vial of 100 covers all classes)</t>
        </is>
      </c>
      <c r="G61" s="20" t="n">
        <v>4</v>
      </c>
      <c r="H61" s="22" t="n">
        <v>8</v>
      </c>
      <c r="I61" s="22" t="n">
        <v>3</v>
      </c>
      <c r="J61" s="20">
        <f>G61*H61*I61</f>
        <v/>
      </c>
      <c r="K61" s="20" t="inlineStr">
        <is>
          <t>Consumable</t>
        </is>
      </c>
      <c r="L61" s="21" t="inlineStr">
        <is>
          <t>Fast, high-engagement opener.</t>
        </is>
      </c>
      <c r="M61" s="21" t="inlineStr">
        <is>
          <t>Vial in Cycle 13 folder</t>
        </is>
      </c>
      <c r="N61" s="21" t="inlineStr">
        <is>
          <t>One strip per student, never shared; taste and discard. Some students taste nothing — that IS the data.</t>
        </is>
      </c>
      <c r="O61" s="23" t="n">
        <v>8</v>
      </c>
      <c r="P61" s="21" t="inlineStr">
        <is>
          <t>—</t>
        </is>
      </c>
      <c r="Q61" s="21" t="inlineStr">
        <is>
          <t>LINK NEEDED (science supplier)</t>
        </is>
      </c>
    </row>
    <row r="62" ht="35.05" customHeight="1" s="14">
      <c r="A62" s="20" t="inlineStr">
        <is>
          <t>Q3</t>
        </is>
      </c>
      <c r="B62" s="21" t="inlineStr">
        <is>
          <t>DNA Structure &amp; Replication</t>
        </is>
      </c>
      <c r="C62" s="20" t="n">
        <v>14</v>
      </c>
      <c r="D62" s="21" t="inlineStr">
        <is>
          <t>Cycle 14 (CORE)</t>
        </is>
      </c>
      <c r="E62" s="21" t="inlineStr">
        <is>
          <t>Unzip and Rebuild (Day 1) + Replication Assembly Line (Day 2)</t>
        </is>
      </c>
      <c r="F62" s="21" t="inlineStr">
        <is>
          <t>Paper/card DNA strand strips + base cutouts (1 set per group)</t>
        </is>
      </c>
      <c r="G62" s="20" t="n">
        <v>1</v>
      </c>
      <c r="H62" s="22" t="n">
        <v>8</v>
      </c>
      <c r="I62" s="22" t="n">
        <v>1</v>
      </c>
      <c r="J62" s="20">
        <f>G62*H62*I62</f>
        <v/>
      </c>
      <c r="K62" s="20" t="inlineStr">
        <is>
          <t>Reusable</t>
        </is>
      </c>
      <c r="L62" s="21" t="inlineStr">
        <is>
          <t>Print on cardstock + laminate; one stock serves both activities, and the strips double as transition puzzles.</t>
        </is>
      </c>
      <c r="M62" s="21" t="inlineStr">
        <is>
          <t>Zip bags: Cycle 14</t>
        </is>
      </c>
      <c r="N62" s="21" t="inlineStr">
        <is>
          <t>—</t>
        </is>
      </c>
      <c r="O62" s="23" t="n">
        <v>4</v>
      </c>
      <c r="P62" s="21" t="inlineStr">
        <is>
          <t>Plain-paper sets, replaced yearly</t>
        </is>
      </c>
      <c r="Q62" s="21" t="inlineStr">
        <is>
          <t>https://docs.google.com/document/d/13KsLi7ncyMF0_rOoAGK5bgWHHaE5QWWJyN5PuQJAm5I/edit</t>
        </is>
      </c>
    </row>
    <row r="63" ht="35.05" customHeight="1" s="14">
      <c r="A63" s="20" t="inlineStr">
        <is>
          <t>Q3</t>
        </is>
      </c>
      <c r="B63" s="21" t="inlineStr">
        <is>
          <t>DNA Structure &amp; Replication</t>
        </is>
      </c>
      <c r="C63" s="20" t="n">
        <v>14</v>
      </c>
      <c r="D63" s="21" t="inlineStr">
        <is>
          <t>Cycle 14 (CORE)</t>
        </is>
      </c>
      <c r="E63" s="21" t="inlineStr">
        <is>
          <t>Replication Assembly Line (Day 2)</t>
        </is>
      </c>
      <c r="F63" s="21" t="inlineStr">
        <is>
          <t>Station signs: HELICASE / DNA POLYMERASE / LIGASE (1 class set)</t>
        </is>
      </c>
      <c r="G63" s="20" t="n">
        <v>1</v>
      </c>
      <c r="H63" s="22" t="n">
        <v>1</v>
      </c>
      <c r="I63" s="22" t="n">
        <v>1</v>
      </c>
      <c r="J63" s="20">
        <f>G63*H63*I63</f>
        <v/>
      </c>
      <c r="K63" s="20" t="inlineStr">
        <is>
          <t>Reusable</t>
        </is>
      </c>
      <c r="L63" s="21" t="inlineStr">
        <is>
          <t>Three signs; laminate once. Per-class set: groups set to 1.</t>
        </is>
      </c>
      <c r="M63" s="21" t="inlineStr">
        <is>
          <t>Folder: Cycle 14</t>
        </is>
      </c>
      <c r="N63" s="21" t="inlineStr">
        <is>
          <t>—</t>
        </is>
      </c>
      <c r="O63" s="23" t="n">
        <v>0</v>
      </c>
      <c r="P63" s="21" t="inlineStr">
        <is>
          <t>School copier + laminate</t>
        </is>
      </c>
      <c r="Q63" s="21" t="inlineStr">
        <is>
          <t>https://docs.google.com/document/d/1uDUphGPphtqcIG_in1NWSl26LS8JuDXmbBmMljB0GQo/edit</t>
        </is>
      </c>
    </row>
    <row r="64" ht="23.85" customHeight="1" s="14">
      <c r="A64" s="20" t="inlineStr">
        <is>
          <t>Q3</t>
        </is>
      </c>
      <c r="B64" s="21" t="inlineStr">
        <is>
          <t>Genes &amp; Chromosomes</t>
        </is>
      </c>
      <c r="C64" s="20" t="n">
        <v>15</v>
      </c>
      <c r="D64" s="21" t="inlineStr">
        <is>
          <t>Genes &amp; Chromosomes (CORE) + Protein Synthesis (EXTEND)</t>
        </is>
      </c>
      <c r="E64" s="21" t="inlineStr">
        <is>
          <t>Pipe-cleaner chromosome build + gene map (CORE)</t>
        </is>
      </c>
      <c r="F64" s="21" t="inlineStr">
        <is>
          <t>Pipe cleaners (~10 per group)</t>
        </is>
      </c>
      <c r="G64" s="20" t="n">
        <v>10</v>
      </c>
      <c r="H64" s="22" t="n">
        <v>8</v>
      </c>
      <c r="I64" s="22" t="n">
        <v>3</v>
      </c>
      <c r="J64" s="20">
        <f>G64*H64*I64</f>
        <v/>
      </c>
      <c r="K64" s="20" t="inlineStr">
        <is>
          <t>Consumable</t>
        </is>
      </c>
      <c r="L64" s="21" t="inlineStr">
        <is>
          <t>Directions live in a separate Activity Guide — SOURCE NOT YET LOCATED.</t>
        </is>
      </c>
      <c r="M64" s="21" t="inlineStr">
        <is>
          <t>Craft bin: Cycle 15</t>
        </is>
      </c>
      <c r="N64" s="21" t="inlineStr">
        <is>
          <t>—</t>
        </is>
      </c>
      <c r="O64" s="23" t="n">
        <v>8</v>
      </c>
      <c r="P64" s="21" t="inlineStr">
        <is>
          <t>—</t>
        </is>
      </c>
      <c r="Q64" s="21" t="inlineStr">
        <is>
          <t>LINK NEEDED (craft store)</t>
        </is>
      </c>
    </row>
    <row r="65" ht="23.85" customHeight="1" s="14">
      <c r="A65" s="20" t="inlineStr">
        <is>
          <t>Q3</t>
        </is>
      </c>
      <c r="B65" s="21" t="inlineStr">
        <is>
          <t>Genes &amp; Chromosomes</t>
        </is>
      </c>
      <c r="C65" s="20" t="n">
        <v>15</v>
      </c>
      <c r="D65" s="21" t="inlineStr">
        <is>
          <t>Genes &amp; Chromosomes (CORE) + Protein Synthesis (EXTEND)</t>
        </is>
      </c>
      <c r="E65" s="21" t="inlineStr">
        <is>
          <t>Class allele survey (CORE)</t>
        </is>
      </c>
      <c r="F65" s="21" t="inlineStr">
        <is>
          <t>Survey recording materials (chart paper or board space)</t>
        </is>
      </c>
      <c r="G65" s="20" t="n">
        <v>1</v>
      </c>
      <c r="H65" s="22" t="n">
        <v>1</v>
      </c>
      <c r="I65" s="22" t="n">
        <v>3</v>
      </c>
      <c r="J65" s="20">
        <f>G65*H65*I65</f>
        <v/>
      </c>
      <c r="K65" s="20" t="inlineStr">
        <is>
          <t>Consumable</t>
        </is>
      </c>
      <c r="L65" s="21" t="inlineStr">
        <is>
          <t>Per-class tally: groups set to 1.</t>
        </is>
      </c>
      <c r="M65" s="21" t="inlineStr">
        <is>
          <t>Chart-paper stock</t>
        </is>
      </c>
      <c r="N65" s="21" t="inlineStr">
        <is>
          <t>—</t>
        </is>
      </c>
      <c r="O65" s="23" t="n">
        <v>3</v>
      </c>
      <c r="P65" s="21" t="inlineStr">
        <is>
          <t>Whiteboard tally</t>
        </is>
      </c>
      <c r="Q65" s="21" t="inlineStr">
        <is>
          <t>—</t>
        </is>
      </c>
    </row>
    <row r="66" ht="23.85" customHeight="1" s="14">
      <c r="A66" s="20" t="inlineStr">
        <is>
          <t>Q3</t>
        </is>
      </c>
      <c r="B66" s="21" t="inlineStr">
        <is>
          <t>Genes &amp; Chromosomes</t>
        </is>
      </c>
      <c r="C66" s="20" t="n">
        <v>15</v>
      </c>
      <c r="D66" s="21" t="inlineStr">
        <is>
          <t>Genes &amp; Chromosomes (CORE) + Protein Synthesis (EXTEND)</t>
        </is>
      </c>
      <c r="E66" s="21" t="inlineStr">
        <is>
          <t>Modeling Transcription (EXTEND)</t>
        </is>
      </c>
      <c r="F66" s="21" t="inlineStr">
        <is>
          <t>Letter tiles (base-pairing tiles, 1 set per group)</t>
        </is>
      </c>
      <c r="G66" s="20" t="n">
        <v>1</v>
      </c>
      <c r="H66" s="22" t="n">
        <v>8</v>
      </c>
      <c r="I66" s="22" t="n">
        <v>1</v>
      </c>
      <c r="J66" s="20">
        <f>G66*H66*I66</f>
        <v/>
      </c>
      <c r="K66" s="20" t="inlineStr">
        <is>
          <t>Reusable</t>
        </is>
      </c>
      <c r="L66" s="21" t="inlineStr">
        <is>
          <t>—</t>
        </is>
      </c>
      <c r="M66" s="21" t="inlineStr">
        <is>
          <t>Zip bags: Cycle 15</t>
        </is>
      </c>
      <c r="N66" s="21" t="inlineStr">
        <is>
          <t>—</t>
        </is>
      </c>
      <c r="O66" s="23" t="n">
        <v>10</v>
      </c>
      <c r="P66" s="21" t="inlineStr">
        <is>
          <t>Printed letter squares, laminated</t>
        </is>
      </c>
      <c r="Q66" s="21" t="inlineStr">
        <is>
          <t>LINK NEEDED</t>
        </is>
      </c>
    </row>
    <row r="67" ht="23.85" customHeight="1" s="14">
      <c r="A67" s="20" t="inlineStr">
        <is>
          <t>Q3</t>
        </is>
      </c>
      <c r="B67" s="21" t="inlineStr">
        <is>
          <t>Genes &amp; Chromosomes</t>
        </is>
      </c>
      <c r="C67" s="20" t="n">
        <v>15</v>
      </c>
      <c r="D67" s="21" t="inlineStr">
        <is>
          <t>Genes &amp; Chromosomes (CORE) + Protein Synthesis (EXTEND)</t>
        </is>
      </c>
      <c r="E67" s="21" t="inlineStr">
        <is>
          <t>Codon-chart practice (EXTEND)</t>
        </is>
      </c>
      <c r="F67" s="21" t="inlineStr">
        <is>
          <t>Printed codon charts (laminated class set)</t>
        </is>
      </c>
      <c r="G67" s="20" t="n">
        <v>4</v>
      </c>
      <c r="H67" s="22" t="n">
        <v>8</v>
      </c>
      <c r="I67" s="22" t="n">
        <v>1</v>
      </c>
      <c r="J67" s="20">
        <f>G67*H67*I67</f>
        <v/>
      </c>
      <c r="K67" s="20" t="inlineStr">
        <is>
          <t>Reusable</t>
        </is>
      </c>
      <c r="L67" s="21" t="inlineStr">
        <is>
          <t>Laminate one class set — reused, not consumed.</t>
        </is>
      </c>
      <c r="M67" s="21" t="inlineStr">
        <is>
          <t>Folder: Cycle 15</t>
        </is>
      </c>
      <c r="N67" s="21" t="inlineStr">
        <is>
          <t>—</t>
        </is>
      </c>
      <c r="O67" s="23" t="n">
        <v>0</v>
      </c>
      <c r="P67" s="21" t="inlineStr">
        <is>
          <t>School copier + laminate</t>
        </is>
      </c>
      <c r="Q67" s="21" t="inlineStr">
        <is>
          <t>—</t>
        </is>
      </c>
    </row>
    <row r="68" ht="35.05" customHeight="1" s="14">
      <c r="A68" s="20" t="inlineStr">
        <is>
          <t>Q4</t>
        </is>
      </c>
      <c r="B68" s="21" t="inlineStr">
        <is>
          <t>Mutations &amp; Genetic Change</t>
        </is>
      </c>
      <c r="C68" s="20" t="n">
        <v>16</v>
      </c>
      <c r="D68" s="21" t="inlineStr">
        <is>
          <t>Genetic Mutations (CORE) + Biotechnology / Genetic Disorders / Stem Cells (EXTEND ×3)</t>
        </is>
      </c>
      <c r="E68" s="21" t="inlineStr">
        <is>
          <t>THE DOG SAT frameshift puzzle (CORE; no-tech fiddle)</t>
        </is>
      </c>
      <c r="F68" s="21" t="inlineStr">
        <is>
          <t>Printed THE DOG SAT letter strips (1 set per group)</t>
        </is>
      </c>
      <c r="G68" s="20" t="n">
        <v>1</v>
      </c>
      <c r="H68" s="22" t="n">
        <v>8</v>
      </c>
      <c r="I68" s="22" t="n">
        <v>1</v>
      </c>
      <c r="J68" s="20">
        <f>G68*H68*I68</f>
        <v/>
      </c>
      <c r="K68" s="20" t="inlineStr">
        <is>
          <t>Reusable</t>
        </is>
      </c>
      <c r="L68" s="21" t="inlineStr">
        <is>
          <t>Works cold, no tech. The CORE deck's activity slot is otherwise blank — GAP — NOT IN SOURCE NOTES.</t>
        </is>
      </c>
      <c r="M68" s="21" t="inlineStr">
        <is>
          <t>Zip bags: Cycle 16</t>
        </is>
      </c>
      <c r="N68" s="21" t="inlineStr">
        <is>
          <t>—</t>
        </is>
      </c>
      <c r="O68" s="23" t="n">
        <v>0</v>
      </c>
      <c r="P68" s="21" t="inlineStr">
        <is>
          <t>School copier + laminate</t>
        </is>
      </c>
      <c r="Q68" s="21" t="inlineStr">
        <is>
          <t>—</t>
        </is>
      </c>
    </row>
    <row r="69" ht="35.05" customHeight="1" s="14">
      <c r="A69" s="20" t="inlineStr">
        <is>
          <t>Q4</t>
        </is>
      </c>
      <c r="B69" s="21" t="inlineStr">
        <is>
          <t>Mutations &amp; Genetic Change</t>
        </is>
      </c>
      <c r="C69" s="20" t="n">
        <v>16</v>
      </c>
      <c r="D69" s="21" t="inlineStr">
        <is>
          <t>Genetic Mutations (CORE) + Biotechnology / Genetic Disorders / Stem Cells (EXTEND ×3)</t>
        </is>
      </c>
      <c r="E69" s="21" t="inlineStr">
        <is>
          <t>Karyotype sort (Genetic Disorders EXTEND)</t>
        </is>
      </c>
      <c r="F69" s="21" t="inlineStr">
        <is>
          <t>Printed karyotype sort sets (1 per group)</t>
        </is>
      </c>
      <c r="G69" s="20" t="n">
        <v>1</v>
      </c>
      <c r="H69" s="22" t="n">
        <v>8</v>
      </c>
      <c r="I69" s="22" t="n">
        <v>1</v>
      </c>
      <c r="J69" s="20">
        <f>G69*H69*I69</f>
        <v/>
      </c>
      <c r="K69" s="20" t="inlineStr">
        <is>
          <t>Reusable</t>
        </is>
      </c>
      <c r="L69" s="21" t="inlineStr">
        <is>
          <t>Print + laminate. The karyotype source is named without a URL — LINK NEEDED.</t>
        </is>
      </c>
      <c r="M69" s="21" t="inlineStr">
        <is>
          <t>Zip bags: Cycle 16</t>
        </is>
      </c>
      <c r="N69" s="21" t="inlineStr">
        <is>
          <t>—</t>
        </is>
      </c>
      <c r="O69" s="23" t="n">
        <v>4</v>
      </c>
      <c r="P69" s="21" t="inlineStr">
        <is>
          <t>Plain-paper sets, replaced yearly</t>
        </is>
      </c>
      <c r="Q69" s="21" t="inlineStr">
        <is>
          <t>LINK NEEDED</t>
        </is>
      </c>
    </row>
    <row r="70" ht="35.05" customHeight="1" s="14">
      <c r="A70" s="20" t="inlineStr">
        <is>
          <t>Q4</t>
        </is>
      </c>
      <c r="B70" s="21" t="inlineStr">
        <is>
          <t>Mutations &amp; Genetic Change</t>
        </is>
      </c>
      <c r="C70" s="20" t="n">
        <v>16</v>
      </c>
      <c r="D70" s="21" t="inlineStr">
        <is>
          <t>Genetic Mutations (CORE) + Biotechnology / Genetic Disorders / Stem Cells (EXTEND ×3)</t>
        </is>
      </c>
      <c r="E70" s="21" t="inlineStr">
        <is>
          <t>The Case of the Desert Bones (Biotechnology EXTEND)</t>
        </is>
      </c>
      <c r="F70" s="21" t="inlineStr">
        <is>
          <t>Case materials (unknown)</t>
        </is>
      </c>
      <c r="G70" s="20" t="n">
        <v>1</v>
      </c>
      <c r="H70" s="22" t="n">
        <v>8</v>
      </c>
      <c r="I70" s="22" t="n">
        <v>1</v>
      </c>
      <c r="J70" s="20">
        <f>G70*H70*I70</f>
        <v/>
      </c>
      <c r="K70" s="20" t="inlineStr">
        <is>
          <t>Consumable</t>
        </is>
      </c>
      <c r="L70" s="21" t="inlineStr">
        <is>
          <t>Case materials SOURCE NOT YET LOCATED — scope unknown; likely printed case packets.</t>
        </is>
      </c>
      <c r="M70" s="21" t="inlineStr">
        <is>
          <t>Hanging file: Cycle 16</t>
        </is>
      </c>
      <c r="N70" s="21" t="inlineStr">
        <is>
          <t>—</t>
        </is>
      </c>
      <c r="O70" s="23" t="n">
        <v>0</v>
      </c>
      <c r="P70" s="21" t="inlineStr">
        <is>
          <t>School copier once located</t>
        </is>
      </c>
      <c r="Q70" s="21" t="inlineStr">
        <is>
          <t>—</t>
        </is>
      </c>
    </row>
    <row r="71" ht="23.85" customHeight="1" s="14">
      <c r="A71" s="20" t="inlineStr">
        <is>
          <t>Q4</t>
        </is>
      </c>
      <c r="B71" s="21" t="inlineStr">
        <is>
          <t>Darwin &amp; the Evidence for Evolution</t>
        </is>
      </c>
      <c r="C71" s="20" t="n">
        <v>17</v>
      </c>
      <c r="D71" s="21" t="inlineStr">
        <is>
          <t>Cycle 17 (CORE), 57 slides</t>
        </is>
      </c>
      <c r="E71" s="21" t="inlineStr">
        <is>
          <t>HHMI 'The Making of a Theory' film (30 min)</t>
        </is>
      </c>
      <c r="F71" s="21" t="inlineStr">
        <is>
          <t>Printed guided-question sheets (1 per student)</t>
        </is>
      </c>
      <c r="G71" s="20" t="n">
        <v>4</v>
      </c>
      <c r="H71" s="22" t="n">
        <v>8</v>
      </c>
      <c r="I71" s="22" t="n">
        <v>3</v>
      </c>
      <c r="J71" s="20">
        <f>G71*H71*I71</f>
        <v/>
      </c>
      <c r="K71" s="20" t="inlineStr">
        <is>
          <t>Consumable</t>
        </is>
      </c>
      <c r="L71" s="21" t="inlineStr">
        <is>
          <t>Print 1 per student.</t>
        </is>
      </c>
      <c r="M71" s="21" t="inlineStr">
        <is>
          <t>Hanging file: Cycle 17</t>
        </is>
      </c>
      <c r="N71" s="21" t="inlineStr">
        <is>
          <t>—</t>
        </is>
      </c>
      <c r="O71" s="23" t="n">
        <v>0</v>
      </c>
      <c r="P71" s="21" t="inlineStr">
        <is>
          <t>School copier</t>
        </is>
      </c>
      <c r="Q71" s="21" t="inlineStr">
        <is>
          <t>—</t>
        </is>
      </c>
    </row>
    <row r="72" ht="23.85" customHeight="1" s="14">
      <c r="A72" s="20" t="inlineStr">
        <is>
          <t>Q4</t>
        </is>
      </c>
      <c r="B72" s="21" t="inlineStr">
        <is>
          <t>Darwin &amp; the Evidence for Evolution</t>
        </is>
      </c>
      <c r="C72" s="20" t="n">
        <v>17</v>
      </c>
      <c r="D72" s="21" t="inlineStr">
        <is>
          <t>Cycle 17 (CORE), 57 slides</t>
        </is>
      </c>
      <c r="E72" s="21" t="inlineStr">
        <is>
          <t>Football-field deep-time timeline placement</t>
        </is>
      </c>
      <c r="F72" s="21" t="inlineStr">
        <is>
          <t>Timeline-of-life materials (printed/manipulable period pieces, 1 class set)</t>
        </is>
      </c>
      <c r="G72" s="20" t="n">
        <v>1</v>
      </c>
      <c r="H72" s="22" t="n">
        <v>1</v>
      </c>
      <c r="I72" s="22" t="n">
        <v>1</v>
      </c>
      <c r="J72" s="20">
        <f>G72*H72*I72</f>
        <v/>
      </c>
      <c r="K72" s="20" t="inlineStr">
        <is>
          <t>Reusable</t>
        </is>
      </c>
      <c r="L72" s="21" t="inlineStr">
        <is>
          <t>Laminate one class set of geological-period pieces. Per-class set: groups set to 1.</t>
        </is>
      </c>
      <c r="M72" s="21" t="inlineStr">
        <is>
          <t>Folder: Cycle 17</t>
        </is>
      </c>
      <c r="N72" s="21" t="inlineStr">
        <is>
          <t>—</t>
        </is>
      </c>
      <c r="O72" s="23" t="n">
        <v>6</v>
      </c>
      <c r="P72" s="21" t="inlineStr">
        <is>
          <t>Plain-paper pieces, replaced yearly</t>
        </is>
      </c>
      <c r="Q72" s="21" t="inlineStr">
        <is>
          <t>—</t>
        </is>
      </c>
    </row>
    <row r="73" ht="23.85" customHeight="1" s="14">
      <c r="A73" s="20" t="inlineStr">
        <is>
          <t>Q4</t>
        </is>
      </c>
      <c r="B73" s="21" t="inlineStr">
        <is>
          <t>Natural Selection &amp; Adaptation</t>
        </is>
      </c>
      <c r="C73" s="20" t="n">
        <v>18</v>
      </c>
      <c r="D73" s="21" t="inlineStr">
        <is>
          <t>Cycle 18 (CORE; reference-quality v2)</t>
        </is>
      </c>
      <c r="E73" s="21" t="inlineStr">
        <is>
          <t>Variation vs. No Variation bean-population lab</t>
        </is>
      </c>
      <c r="F73" s="21" t="inlineStr">
        <is>
          <t>Dried beans in multiple colors (1 cup mix per group)</t>
        </is>
      </c>
      <c r="G73" s="20" t="n">
        <v>1</v>
      </c>
      <c r="H73" s="22" t="n">
        <v>8</v>
      </c>
      <c r="I73" s="22" t="n">
        <v>1</v>
      </c>
      <c r="J73" s="20">
        <f>G73*H73*I73</f>
        <v/>
      </c>
      <c r="K73" s="20" t="inlineStr">
        <is>
          <t>Reusable</t>
        </is>
      </c>
      <c r="L73" s="21" t="inlineStr">
        <is>
          <t>Beans are recovered and reused across classes and years. Also feeds the Cycle 07 quadrat substitute.</t>
        </is>
      </c>
      <c r="M73" s="21" t="inlineStr">
        <is>
          <t>Sealed jar: Cycle 18</t>
        </is>
      </c>
      <c r="N73" s="21" t="inlineStr">
        <is>
          <t>—</t>
        </is>
      </c>
      <c r="O73" s="23" t="n">
        <v>8</v>
      </c>
      <c r="P73" s="21" t="inlineStr">
        <is>
          <t>—</t>
        </is>
      </c>
      <c r="Q73" s="21" t="inlineStr">
        <is>
          <t>LINK NEEDED (grocery)</t>
        </is>
      </c>
    </row>
    <row r="74" ht="23.85" customHeight="1" s="14">
      <c r="A74" s="20" t="inlineStr">
        <is>
          <t>Q4</t>
        </is>
      </c>
      <c r="B74" s="21" t="inlineStr">
        <is>
          <t>Natural Selection &amp; Adaptation</t>
        </is>
      </c>
      <c r="C74" s="20" t="n">
        <v>18</v>
      </c>
      <c r="D74" s="21" t="inlineStr">
        <is>
          <t>Cycle 18 (CORE; reference-quality v2)</t>
        </is>
      </c>
      <c r="E74" s="21" t="inlineStr">
        <is>
          <t>Peppered Moth hunt + bean lab backgrounds</t>
        </is>
      </c>
      <c r="F74" s="21" t="inlineStr">
        <is>
          <t>Colored paper/fabric backgrounds (2 per group)</t>
        </is>
      </c>
      <c r="G74" s="20" t="n">
        <v>2</v>
      </c>
      <c r="H74" s="22" t="n">
        <v>8</v>
      </c>
      <c r="I74" s="22" t="n">
        <v>1</v>
      </c>
      <c r="J74" s="20">
        <f>G74*H74*I74</f>
        <v/>
      </c>
      <c r="K74" s="20" t="inlineStr">
        <is>
          <t>Reusable</t>
        </is>
      </c>
      <c r="L74" s="21" t="inlineStr">
        <is>
          <t>Light vs. dark backgrounds.</t>
        </is>
      </c>
      <c r="M74" s="21" t="inlineStr">
        <is>
          <t>Folder: Cycle 18</t>
        </is>
      </c>
      <c r="N74" s="21" t="inlineStr">
        <is>
          <t>—</t>
        </is>
      </c>
      <c r="O74" s="23" t="n">
        <v>4</v>
      </c>
      <c r="P74" s="21" t="inlineStr">
        <is>
          <t>Construction paper</t>
        </is>
      </c>
      <c r="Q74" s="21" t="inlineStr">
        <is>
          <t>—</t>
        </is>
      </c>
    </row>
    <row r="75" ht="23.85" customHeight="1" s="14">
      <c r="A75" s="20" t="inlineStr">
        <is>
          <t>Q4</t>
        </is>
      </c>
      <c r="B75" s="21" t="inlineStr">
        <is>
          <t>Natural Selection &amp; Adaptation</t>
        </is>
      </c>
      <c r="C75" s="20" t="n">
        <v>18</v>
      </c>
      <c r="D75" s="21" t="inlineStr">
        <is>
          <t>Cycle 18 (CORE; reference-quality v2)</t>
        </is>
      </c>
      <c r="E75" s="21" t="inlineStr">
        <is>
          <t>Same Trait, Two Environments card activity</t>
        </is>
      </c>
      <c r="F75" s="21" t="inlineStr">
        <is>
          <t>Trait and environment card sets (1 per group)</t>
        </is>
      </c>
      <c r="G75" s="20" t="n">
        <v>1</v>
      </c>
      <c r="H75" s="22" t="n">
        <v>8</v>
      </c>
      <c r="I75" s="22" t="n">
        <v>1</v>
      </c>
      <c r="J75" s="20">
        <f>G75*H75*I75</f>
        <v/>
      </c>
      <c r="K75" s="20" t="inlineStr">
        <is>
          <t>Reusable</t>
        </is>
      </c>
      <c r="L75" s="21" t="inlineStr">
        <is>
          <t>Print + laminate.</t>
        </is>
      </c>
      <c r="M75" s="21" t="inlineStr">
        <is>
          <t>Zip bags: Cycle 18</t>
        </is>
      </c>
      <c r="N75" s="21" t="inlineStr">
        <is>
          <t>—</t>
        </is>
      </c>
      <c r="O75" s="23" t="n">
        <v>3</v>
      </c>
      <c r="P75" s="21" t="inlineStr">
        <is>
          <t>Plain-paper sets, replaced yearly</t>
        </is>
      </c>
      <c r="Q75" s="21" t="inlineStr">
        <is>
          <t>—</t>
        </is>
      </c>
    </row>
    <row r="76" ht="23.85" customHeight="1" s="14">
      <c r="A76" s="20" t="inlineStr">
        <is>
          <t>Q4</t>
        </is>
      </c>
      <c r="B76" s="21" t="inlineStr">
        <is>
          <t>Natural Selection &amp; Adaptation</t>
        </is>
      </c>
      <c r="C76" s="20" t="n">
        <v>18</v>
      </c>
      <c r="D76" s="21" t="inlineStr">
        <is>
          <t>Cycle 18 (CORE; reference-quality v2)</t>
        </is>
      </c>
      <c r="E76" s="21" t="inlineStr">
        <is>
          <t>Battle of the Beaks</t>
        </is>
      </c>
      <c r="F76" s="21" t="inlineStr">
        <is>
          <t>Tweezers, clothespins, spoons (one of each per group as 'beaks')</t>
        </is>
      </c>
      <c r="G76" s="20" t="n">
        <v>3</v>
      </c>
      <c r="H76" s="22" t="n">
        <v>8</v>
      </c>
      <c r="I76" s="22" t="n">
        <v>1</v>
      </c>
      <c r="J76" s="20">
        <f>G76*H76*I76</f>
        <v/>
      </c>
      <c r="K76" s="20" t="inlineStr">
        <is>
          <t>Reusable</t>
        </is>
      </c>
      <c r="L76" s="21" t="inlineStr">
        <is>
          <t>—</t>
        </is>
      </c>
      <c r="M76" s="21" t="inlineStr">
        <is>
          <t>Zip bags: Cycle 18</t>
        </is>
      </c>
      <c r="N76" s="21" t="inlineStr">
        <is>
          <t>—</t>
        </is>
      </c>
      <c r="O76" s="23" t="n">
        <v>10</v>
      </c>
      <c r="P76" s="21" t="inlineStr">
        <is>
          <t>Any three grip tools of different precision</t>
        </is>
      </c>
      <c r="Q76" s="21" t="inlineStr">
        <is>
          <t>LINK NEEDED</t>
        </is>
      </c>
    </row>
    <row r="77" ht="23.85" customHeight="1" s="14">
      <c r="A77" s="20" t="inlineStr">
        <is>
          <t>Q4</t>
        </is>
      </c>
      <c r="B77" s="21" t="inlineStr">
        <is>
          <t>Natural Selection &amp; Adaptation</t>
        </is>
      </c>
      <c r="C77" s="20" t="n">
        <v>18</v>
      </c>
      <c r="D77" s="21" t="inlineStr">
        <is>
          <t>Cycle 18 (CORE; reference-quality v2)</t>
        </is>
      </c>
      <c r="E77" s="21" t="inlineStr">
        <is>
          <t>Battle of the Beaks</t>
        </is>
      </c>
      <c r="F77" s="21" t="inlineStr">
        <is>
          <t>Two seed types (small/soft vs. large/tough — e.g., rice vs. lima beans)</t>
        </is>
      </c>
      <c r="G77" s="20" t="n">
        <v>1</v>
      </c>
      <c r="H77" s="22" t="n">
        <v>8</v>
      </c>
      <c r="I77" s="22" t="n">
        <v>1</v>
      </c>
      <c r="J77" s="20">
        <f>G77*H77*I77</f>
        <v/>
      </c>
      <c r="K77" s="20" t="inlineStr">
        <is>
          <t>Reusable</t>
        </is>
      </c>
      <c r="L77" s="21" t="inlineStr">
        <is>
          <t>One cup of each per group; recovered and reused.</t>
        </is>
      </c>
      <c r="M77" s="21" t="inlineStr">
        <is>
          <t>Sealed jars: Cycle 18</t>
        </is>
      </c>
      <c r="N77" s="21" t="inlineStr">
        <is>
          <t>—</t>
        </is>
      </c>
      <c r="O77" s="23" t="n">
        <v>5</v>
      </c>
      <c r="P77" s="21" t="inlineStr">
        <is>
          <t>—</t>
        </is>
      </c>
      <c r="Q77" s="21" t="inlineStr">
        <is>
          <t>LINK NEEDED (grocery)</t>
        </is>
      </c>
    </row>
    <row r="78" ht="15" customHeight="1" s="14">
      <c r="A78" s="20" t="inlineStr">
        <is>
          <t>Q4</t>
        </is>
      </c>
      <c r="B78" s="21" t="inlineStr">
        <is>
          <t>Natural Selection &amp; Adaptation</t>
        </is>
      </c>
      <c r="C78" s="20" t="n">
        <v>18</v>
      </c>
      <c r="D78" s="21" t="inlineStr">
        <is>
          <t>Cycle 18 (CORE; reference-quality v2)</t>
        </is>
      </c>
      <c r="E78" s="21" t="inlineStr">
        <is>
          <t>Battle of the Beaks + Gene-Pool Beads</t>
        </is>
      </c>
      <c r="F78" s="21" t="inlineStr">
        <is>
          <t>Cups — reuse the Cycle 05 cup stock</t>
        </is>
      </c>
      <c r="G78" s="20" t="n">
        <v>2</v>
      </c>
      <c r="H78" s="22" t="n">
        <v>8</v>
      </c>
      <c r="I78" s="22" t="n">
        <v>1</v>
      </c>
      <c r="J78" s="20">
        <f>G78*H78*I78</f>
        <v/>
      </c>
      <c r="K78" s="20" t="inlineStr">
        <is>
          <t>Reusable</t>
        </is>
      </c>
      <c r="L78" s="21" t="inlineStr">
        <is>
          <t>No new purchase.</t>
        </is>
      </c>
      <c r="M78" s="21" t="inlineStr">
        <is>
          <t>Wet-lab bin</t>
        </is>
      </c>
      <c r="N78" s="21" t="inlineStr">
        <is>
          <t>—</t>
        </is>
      </c>
      <c r="O78" s="23" t="n">
        <v>0</v>
      </c>
      <c r="P78" s="21" t="inlineStr">
        <is>
          <t>—</t>
        </is>
      </c>
      <c r="Q78" s="21" t="inlineStr">
        <is>
          <t>—</t>
        </is>
      </c>
    </row>
    <row r="79" ht="23.85" customHeight="1" s="14">
      <c r="A79" s="20" t="inlineStr">
        <is>
          <t>Q4</t>
        </is>
      </c>
      <c r="B79" s="21" t="inlineStr">
        <is>
          <t>Natural Selection &amp; Adaptation</t>
        </is>
      </c>
      <c r="C79" s="20" t="n">
        <v>18</v>
      </c>
      <c r="D79" s="21" t="inlineStr">
        <is>
          <t>Cycle 18 (CORE; reference-quality v2)</t>
        </is>
      </c>
      <c r="E79" s="21" t="inlineStr">
        <is>
          <t>Gene-Pool Beads (Day 3 extension)</t>
        </is>
      </c>
      <c r="F79" s="21" t="inlineStr">
        <is>
          <t>Blue and white beads (30 blue + 20 white per group)</t>
        </is>
      </c>
      <c r="G79" s="20" t="n">
        <v>50</v>
      </c>
      <c r="H79" s="22" t="n">
        <v>8</v>
      </c>
      <c r="I79" s="22" t="n">
        <v>1</v>
      </c>
      <c r="J79" s="20">
        <f>G79*H79*I79</f>
        <v/>
      </c>
      <c r="K79" s="20" t="inlineStr">
        <is>
          <t>Reusable</t>
        </is>
      </c>
      <c r="L79" s="21" t="inlineStr">
        <is>
          <t>Track allele a across four generations of draws; count sets back in.</t>
        </is>
      </c>
      <c r="M79" s="21" t="inlineStr">
        <is>
          <t>Zip bags: Cycle 18</t>
        </is>
      </c>
      <c r="N79" s="21" t="inlineStr">
        <is>
          <t>—</t>
        </is>
      </c>
      <c r="O79" s="23" t="n">
        <v>10</v>
      </c>
      <c r="P79" s="21" t="inlineStr">
        <is>
          <t>Two colors of dried beans from the same stock</t>
        </is>
      </c>
      <c r="Q79" s="21" t="inlineStr">
        <is>
          <t>LINK NEEDED (craft store)</t>
        </is>
      </c>
    </row>
    <row r="80" ht="23.85" customHeight="1" s="14">
      <c r="A80" s="20" t="inlineStr">
        <is>
          <t>Q4</t>
        </is>
      </c>
      <c r="B80" s="21" t="inlineStr">
        <is>
          <t>Speciation &amp; Biodiversity</t>
        </is>
      </c>
      <c r="C80" s="20" t="n">
        <v>19</v>
      </c>
      <c r="D80" s="21" t="inlineStr">
        <is>
          <t>Cycle 19 (CORE)</t>
        </is>
      </c>
      <c r="E80" s="21" t="inlineStr">
        <is>
          <t>HHMI Lizards in an Evolutionary Tree (Day 1)</t>
        </is>
      </c>
      <c r="F80" s="21" t="inlineStr">
        <is>
          <t>Printed check sheets (1 per student)</t>
        </is>
      </c>
      <c r="G80" s="20" t="n">
        <v>4</v>
      </c>
      <c r="H80" s="22" t="n">
        <v>8</v>
      </c>
      <c r="I80" s="22" t="n">
        <v>3</v>
      </c>
      <c r="J80" s="20">
        <f>G80*H80*I80</f>
        <v/>
      </c>
      <c r="K80" s="20" t="inlineStr">
        <is>
          <t>Consumable</t>
        </is>
      </c>
      <c r="L80" s="21" t="inlineStr">
        <is>
          <t>Print 1 per student.</t>
        </is>
      </c>
      <c r="M80" s="21" t="inlineStr">
        <is>
          <t>Hanging file: Cycle 19</t>
        </is>
      </c>
      <c r="N80" s="21" t="inlineStr">
        <is>
          <t>—</t>
        </is>
      </c>
      <c r="O80" s="23" t="n">
        <v>0</v>
      </c>
      <c r="P80" s="21" t="inlineStr">
        <is>
          <t>School copier</t>
        </is>
      </c>
      <c r="Q80" s="21" t="inlineStr">
        <is>
          <t>—</t>
        </is>
      </c>
    </row>
    <row r="81" ht="23.85" customHeight="1" s="14">
      <c r="A81" s="20" t="inlineStr">
        <is>
          <t>Q4</t>
        </is>
      </c>
      <c r="B81" s="21" t="inlineStr">
        <is>
          <t>Human Impact Capstone</t>
        </is>
      </c>
      <c r="C81" s="20" t="n">
        <v>20</v>
      </c>
      <c r="D81" s="21" t="inlineStr">
        <is>
          <t>Cycle 20 (CORE, capstone)</t>
        </is>
      </c>
      <c r="E81" s="21" t="inlineStr">
        <is>
          <t>One-page proposal (capstone product)</t>
        </is>
      </c>
      <c r="F81" s="21" t="inlineStr">
        <is>
          <t>Printed structured-argument templates (1 per student)</t>
        </is>
      </c>
      <c r="G81" s="20" t="n">
        <v>4</v>
      </c>
      <c r="H81" s="22" t="n">
        <v>8</v>
      </c>
      <c r="I81" s="22" t="n">
        <v>3</v>
      </c>
      <c r="J81" s="20">
        <f>G81*H81*I81</f>
        <v/>
      </c>
      <c r="K81" s="20" t="inlineStr">
        <is>
          <t>Consumable</t>
        </is>
      </c>
      <c r="L81" s="21" t="inlineStr">
        <is>
          <t>The template is SOURCE NOT YET LOCATED — locate or rebuild before the capstone.</t>
        </is>
      </c>
      <c r="M81" s="21" t="inlineStr">
        <is>
          <t>Hanging file: Cycle 20</t>
        </is>
      </c>
      <c r="N81" s="21" t="inlineStr">
        <is>
          <t>—</t>
        </is>
      </c>
      <c r="O81" s="23" t="n">
        <v>0</v>
      </c>
      <c r="P81" s="21" t="inlineStr">
        <is>
          <t>School copier</t>
        </is>
      </c>
      <c r="Q81" s="21" t="inlineStr">
        <is>
          <t>—</t>
        </is>
      </c>
    </row>
  </sheetData>
  <autoFilter ref="A1:Q8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30" customWidth="1" style="13" min="2" max="2"/>
    <col width="7" customWidth="1" style="13" min="3" max="3"/>
    <col width="32" customWidth="1" style="13" min="4" max="4"/>
    <col width="34" customWidth="1" style="13" min="5" max="5"/>
    <col width="42" customWidth="1" style="13" min="6" max="6"/>
    <col width="9" customWidth="1" style="13" min="7" max="10"/>
    <col width="13" customWidth="1" style="13" min="11" max="11"/>
    <col width="52" customWidth="1" style="13" min="12" max="12"/>
    <col width="26" customWidth="1" style="13" min="13" max="13"/>
    <col width="40" customWidth="1" style="13" min="14" max="14"/>
    <col width="11" customWidth="1" style="13" min="15" max="15"/>
    <col width="34" customWidth="1" style="13" min="16" max="16"/>
    <col width="44" customWidth="1" style="13" min="17" max="17"/>
  </cols>
  <sheetData>
    <row r="1" ht="15" customHeight="1" s="14">
      <c r="A1" s="24" t="inlineStr">
        <is>
          <t>Quarter 1 — Cycles 1–5 (ecology arc opens; first wet lab in Cycle 05) — view only; edit MASTER, this sheet follows.</t>
        </is>
      </c>
    </row>
    <row r="2" ht="30" customHeight="1" s="14">
      <c r="A2" s="19" t="inlineStr">
        <is>
          <t>Quarter (bundle)</t>
        </is>
      </c>
      <c r="B2" s="19" t="inlineStr">
        <is>
          <t>Unit</t>
        </is>
      </c>
      <c r="C2" s="19" t="inlineStr">
        <is>
          <t>Cycle</t>
        </is>
      </c>
      <c r="D2" s="19" t="inlineStr">
        <is>
          <t>Lesson / deck</t>
        </is>
      </c>
      <c r="E2" s="19" t="inlineStr">
        <is>
          <t>Activity</t>
        </is>
      </c>
      <c r="F2" s="19" t="inlineStr">
        <is>
          <t>Supply</t>
        </is>
      </c>
      <c r="G2" s="19" t="inlineStr">
        <is>
          <t>Qty per group</t>
        </is>
      </c>
      <c r="H2" s="19" t="inlineStr">
        <is>
          <t>Groups per class</t>
        </is>
      </c>
      <c r="I2" s="19" t="inlineStr">
        <is>
          <t>Number of classes</t>
        </is>
      </c>
      <c r="J2" s="19" t="inlineStr">
        <is>
          <t>Total needed</t>
        </is>
      </c>
      <c r="K2" s="19" t="inlineStr">
        <is>
          <t>Reusable / Consumable</t>
        </is>
      </c>
      <c r="L2" s="19" t="inlineStr">
        <is>
          <t>Preparation</t>
        </is>
      </c>
      <c r="M2" s="19" t="inlineStr">
        <is>
          <t>Storage</t>
        </is>
      </c>
      <c r="N2" s="19" t="inlineStr">
        <is>
          <t>Safety</t>
        </is>
      </c>
      <c r="O2" s="19" t="inlineStr">
        <is>
          <t>Approx cost (USD)</t>
        </is>
      </c>
      <c r="P2" s="19" t="inlineStr">
        <is>
          <t>Substitute</t>
        </is>
      </c>
      <c r="Q2" s="19" t="inlineStr">
        <is>
          <t>Store / purchasing link</t>
        </is>
      </c>
    </row>
    <row r="3" ht="23.85" customHeight="1" s="14">
      <c r="A3" s="20">
        <f>MASTER!A2</f>
        <v/>
      </c>
      <c r="B3" s="21">
        <f>MASTER!B2</f>
        <v/>
      </c>
      <c r="C3" s="20">
        <f>MASTER!C2</f>
        <v/>
      </c>
      <c r="D3" s="21">
        <f>MASTER!D2</f>
        <v/>
      </c>
      <c r="E3" s="21">
        <f>MASTER!E2</f>
        <v/>
      </c>
      <c r="F3" s="21">
        <f>MASTER!F2</f>
        <v/>
      </c>
      <c r="G3" s="20">
        <f>MASTER!G2</f>
        <v/>
      </c>
      <c r="H3" s="20">
        <f>MASTER!H2</f>
        <v/>
      </c>
      <c r="I3" s="20">
        <f>MASTER!I2</f>
        <v/>
      </c>
      <c r="J3" s="20">
        <f>MASTER!J2</f>
        <v/>
      </c>
      <c r="K3" s="20">
        <f>MASTER!K2</f>
        <v/>
      </c>
      <c r="L3" s="21">
        <f>MASTER!L2</f>
        <v/>
      </c>
      <c r="M3" s="21">
        <f>MASTER!M2</f>
        <v/>
      </c>
      <c r="N3" s="21">
        <f>MASTER!N2</f>
        <v/>
      </c>
      <c r="O3" s="23">
        <f>MASTER!O2</f>
        <v/>
      </c>
      <c r="P3" s="21">
        <f>MASTER!P2</f>
        <v/>
      </c>
      <c r="Q3" s="21">
        <f>MASTER!Q2</f>
        <v/>
      </c>
    </row>
    <row r="4" ht="23.85" customHeight="1" s="14">
      <c r="A4" s="20">
        <f>MASTER!A3</f>
        <v/>
      </c>
      <c r="B4" s="21">
        <f>MASTER!B3</f>
        <v/>
      </c>
      <c r="C4" s="20">
        <f>MASTER!C3</f>
        <v/>
      </c>
      <c r="D4" s="21">
        <f>MASTER!D3</f>
        <v/>
      </c>
      <c r="E4" s="21">
        <f>MASTER!E3</f>
        <v/>
      </c>
      <c r="F4" s="21">
        <f>MASTER!F3</f>
        <v/>
      </c>
      <c r="G4" s="20">
        <f>MASTER!G3</f>
        <v/>
      </c>
      <c r="H4" s="20">
        <f>MASTER!H3</f>
        <v/>
      </c>
      <c r="I4" s="20">
        <f>MASTER!I3</f>
        <v/>
      </c>
      <c r="J4" s="20">
        <f>MASTER!J3</f>
        <v/>
      </c>
      <c r="K4" s="20">
        <f>MASTER!K3</f>
        <v/>
      </c>
      <c r="L4" s="21">
        <f>MASTER!L3</f>
        <v/>
      </c>
      <c r="M4" s="21">
        <f>MASTER!M3</f>
        <v/>
      </c>
      <c r="N4" s="21">
        <f>MASTER!N3</f>
        <v/>
      </c>
      <c r="O4" s="23">
        <f>MASTER!O3</f>
        <v/>
      </c>
      <c r="P4" s="21">
        <f>MASTER!P3</f>
        <v/>
      </c>
      <c r="Q4" s="21">
        <f>MASTER!Q3</f>
        <v/>
      </c>
    </row>
    <row r="5" ht="35.05" customHeight="1" s="14">
      <c r="A5" s="20">
        <f>MASTER!A4</f>
        <v/>
      </c>
      <c r="B5" s="21">
        <f>MASTER!B4</f>
        <v/>
      </c>
      <c r="C5" s="20">
        <f>MASTER!C4</f>
        <v/>
      </c>
      <c r="D5" s="21">
        <f>MASTER!D4</f>
        <v/>
      </c>
      <c r="E5" s="21">
        <f>MASTER!E4</f>
        <v/>
      </c>
      <c r="F5" s="21">
        <f>MASTER!F4</f>
        <v/>
      </c>
      <c r="G5" s="20">
        <f>MASTER!G4</f>
        <v/>
      </c>
      <c r="H5" s="20">
        <f>MASTER!H4</f>
        <v/>
      </c>
      <c r="I5" s="20">
        <f>MASTER!I4</f>
        <v/>
      </c>
      <c r="J5" s="20">
        <f>MASTER!J4</f>
        <v/>
      </c>
      <c r="K5" s="20">
        <f>MASTER!K4</f>
        <v/>
      </c>
      <c r="L5" s="21">
        <f>MASTER!L4</f>
        <v/>
      </c>
      <c r="M5" s="21">
        <f>MASTER!M4</f>
        <v/>
      </c>
      <c r="N5" s="21">
        <f>MASTER!N4</f>
        <v/>
      </c>
      <c r="O5" s="23">
        <f>MASTER!O4</f>
        <v/>
      </c>
      <c r="P5" s="21">
        <f>MASTER!P4</f>
        <v/>
      </c>
      <c r="Q5" s="21">
        <f>MASTER!Q4</f>
        <v/>
      </c>
    </row>
    <row r="6" ht="35.05" customHeight="1" s="14">
      <c r="A6" s="20">
        <f>MASTER!A5</f>
        <v/>
      </c>
      <c r="B6" s="21">
        <f>MASTER!B5</f>
        <v/>
      </c>
      <c r="C6" s="20">
        <f>MASTER!C5</f>
        <v/>
      </c>
      <c r="D6" s="21">
        <f>MASTER!D5</f>
        <v/>
      </c>
      <c r="E6" s="21">
        <f>MASTER!E5</f>
        <v/>
      </c>
      <c r="F6" s="21">
        <f>MASTER!F5</f>
        <v/>
      </c>
      <c r="G6" s="20">
        <f>MASTER!G5</f>
        <v/>
      </c>
      <c r="H6" s="20">
        <f>MASTER!H5</f>
        <v/>
      </c>
      <c r="I6" s="20">
        <f>MASTER!I5</f>
        <v/>
      </c>
      <c r="J6" s="20">
        <f>MASTER!J5</f>
        <v/>
      </c>
      <c r="K6" s="20">
        <f>MASTER!K5</f>
        <v/>
      </c>
      <c r="L6" s="21">
        <f>MASTER!L5</f>
        <v/>
      </c>
      <c r="M6" s="21">
        <f>MASTER!M5</f>
        <v/>
      </c>
      <c r="N6" s="21">
        <f>MASTER!N5</f>
        <v/>
      </c>
      <c r="O6" s="23">
        <f>MASTER!O5</f>
        <v/>
      </c>
      <c r="P6" s="21">
        <f>MASTER!P5</f>
        <v/>
      </c>
      <c r="Q6" s="21">
        <f>MASTER!Q5</f>
        <v/>
      </c>
    </row>
    <row r="7" ht="35.05" customHeight="1" s="14">
      <c r="A7" s="20">
        <f>MASTER!A6</f>
        <v/>
      </c>
      <c r="B7" s="21">
        <f>MASTER!B6</f>
        <v/>
      </c>
      <c r="C7" s="20">
        <f>MASTER!C6</f>
        <v/>
      </c>
      <c r="D7" s="21">
        <f>MASTER!D6</f>
        <v/>
      </c>
      <c r="E7" s="21">
        <f>MASTER!E6</f>
        <v/>
      </c>
      <c r="F7" s="21">
        <f>MASTER!F6</f>
        <v/>
      </c>
      <c r="G7" s="20">
        <f>MASTER!G6</f>
        <v/>
      </c>
      <c r="H7" s="20">
        <f>MASTER!H6</f>
        <v/>
      </c>
      <c r="I7" s="20">
        <f>MASTER!I6</f>
        <v/>
      </c>
      <c r="J7" s="20">
        <f>MASTER!J6</f>
        <v/>
      </c>
      <c r="K7" s="20">
        <f>MASTER!K6</f>
        <v/>
      </c>
      <c r="L7" s="21">
        <f>MASTER!L6</f>
        <v/>
      </c>
      <c r="M7" s="21">
        <f>MASTER!M6</f>
        <v/>
      </c>
      <c r="N7" s="21">
        <f>MASTER!N6</f>
        <v/>
      </c>
      <c r="O7" s="23">
        <f>MASTER!O6</f>
        <v/>
      </c>
      <c r="P7" s="21">
        <f>MASTER!P6</f>
        <v/>
      </c>
      <c r="Q7" s="21">
        <f>MASTER!Q6</f>
        <v/>
      </c>
    </row>
    <row r="8" ht="23.85" customHeight="1" s="14">
      <c r="A8" s="20">
        <f>MASTER!A7</f>
        <v/>
      </c>
      <c r="B8" s="21">
        <f>MASTER!B7</f>
        <v/>
      </c>
      <c r="C8" s="20">
        <f>MASTER!C7</f>
        <v/>
      </c>
      <c r="D8" s="21">
        <f>MASTER!D7</f>
        <v/>
      </c>
      <c r="E8" s="21">
        <f>MASTER!E7</f>
        <v/>
      </c>
      <c r="F8" s="21">
        <f>MASTER!F7</f>
        <v/>
      </c>
      <c r="G8" s="20">
        <f>MASTER!G7</f>
        <v/>
      </c>
      <c r="H8" s="20">
        <f>MASTER!H7</f>
        <v/>
      </c>
      <c r="I8" s="20">
        <f>MASTER!I7</f>
        <v/>
      </c>
      <c r="J8" s="20">
        <f>MASTER!J7</f>
        <v/>
      </c>
      <c r="K8" s="20">
        <f>MASTER!K7</f>
        <v/>
      </c>
      <c r="L8" s="21">
        <f>MASTER!L7</f>
        <v/>
      </c>
      <c r="M8" s="21">
        <f>MASTER!M7</f>
        <v/>
      </c>
      <c r="N8" s="21">
        <f>MASTER!N7</f>
        <v/>
      </c>
      <c r="O8" s="23">
        <f>MASTER!O7</f>
        <v/>
      </c>
      <c r="P8" s="21">
        <f>MASTER!P7</f>
        <v/>
      </c>
      <c r="Q8" s="21">
        <f>MASTER!Q7</f>
        <v/>
      </c>
    </row>
    <row r="9" ht="23.85" customHeight="1" s="14">
      <c r="A9" s="20">
        <f>MASTER!A8</f>
        <v/>
      </c>
      <c r="B9" s="21">
        <f>MASTER!B8</f>
        <v/>
      </c>
      <c r="C9" s="20">
        <f>MASTER!C8</f>
        <v/>
      </c>
      <c r="D9" s="21">
        <f>MASTER!D8</f>
        <v/>
      </c>
      <c r="E9" s="21">
        <f>MASTER!E8</f>
        <v/>
      </c>
      <c r="F9" s="21">
        <f>MASTER!F8</f>
        <v/>
      </c>
      <c r="G9" s="20">
        <f>MASTER!G8</f>
        <v/>
      </c>
      <c r="H9" s="20">
        <f>MASTER!H8</f>
        <v/>
      </c>
      <c r="I9" s="20">
        <f>MASTER!I8</f>
        <v/>
      </c>
      <c r="J9" s="20">
        <f>MASTER!J8</f>
        <v/>
      </c>
      <c r="K9" s="20">
        <f>MASTER!K8</f>
        <v/>
      </c>
      <c r="L9" s="21">
        <f>MASTER!L8</f>
        <v/>
      </c>
      <c r="M9" s="21">
        <f>MASTER!M8</f>
        <v/>
      </c>
      <c r="N9" s="21">
        <f>MASTER!N8</f>
        <v/>
      </c>
      <c r="O9" s="23">
        <f>MASTER!O8</f>
        <v/>
      </c>
      <c r="P9" s="21">
        <f>MASTER!P8</f>
        <v/>
      </c>
      <c r="Q9" s="21">
        <f>MASTER!Q8</f>
        <v/>
      </c>
    </row>
    <row r="10" ht="23.85" customHeight="1" s="14">
      <c r="A10" s="20">
        <f>MASTER!A9</f>
        <v/>
      </c>
      <c r="B10" s="21">
        <f>MASTER!B9</f>
        <v/>
      </c>
      <c r="C10" s="20">
        <f>MASTER!C9</f>
        <v/>
      </c>
      <c r="D10" s="21">
        <f>MASTER!D9</f>
        <v/>
      </c>
      <c r="E10" s="21">
        <f>MASTER!E9</f>
        <v/>
      </c>
      <c r="F10" s="21">
        <f>MASTER!F9</f>
        <v/>
      </c>
      <c r="G10" s="20">
        <f>MASTER!G9</f>
        <v/>
      </c>
      <c r="H10" s="20">
        <f>MASTER!H9</f>
        <v/>
      </c>
      <c r="I10" s="20">
        <f>MASTER!I9</f>
        <v/>
      </c>
      <c r="J10" s="20">
        <f>MASTER!J9</f>
        <v/>
      </c>
      <c r="K10" s="20">
        <f>MASTER!K9</f>
        <v/>
      </c>
      <c r="L10" s="21">
        <f>MASTER!L9</f>
        <v/>
      </c>
      <c r="M10" s="21">
        <f>MASTER!M9</f>
        <v/>
      </c>
      <c r="N10" s="21">
        <f>MASTER!N9</f>
        <v/>
      </c>
      <c r="O10" s="23">
        <f>MASTER!O9</f>
        <v/>
      </c>
      <c r="P10" s="21">
        <f>MASTER!P9</f>
        <v/>
      </c>
      <c r="Q10" s="21">
        <f>MASTER!Q9</f>
        <v/>
      </c>
    </row>
    <row r="11" ht="35.05" customHeight="1" s="14">
      <c r="A11" s="20">
        <f>MASTER!A10</f>
        <v/>
      </c>
      <c r="B11" s="21">
        <f>MASTER!B10</f>
        <v/>
      </c>
      <c r="C11" s="20">
        <f>MASTER!C10</f>
        <v/>
      </c>
      <c r="D11" s="21">
        <f>MASTER!D10</f>
        <v/>
      </c>
      <c r="E11" s="21">
        <f>MASTER!E10</f>
        <v/>
      </c>
      <c r="F11" s="21">
        <f>MASTER!F10</f>
        <v/>
      </c>
      <c r="G11" s="20">
        <f>MASTER!G10</f>
        <v/>
      </c>
      <c r="H11" s="20">
        <f>MASTER!H10</f>
        <v/>
      </c>
      <c r="I11" s="20">
        <f>MASTER!I10</f>
        <v/>
      </c>
      <c r="J11" s="20">
        <f>MASTER!J10</f>
        <v/>
      </c>
      <c r="K11" s="20">
        <f>MASTER!K10</f>
        <v/>
      </c>
      <c r="L11" s="21">
        <f>MASTER!L10</f>
        <v/>
      </c>
      <c r="M11" s="21">
        <f>MASTER!M10</f>
        <v/>
      </c>
      <c r="N11" s="21">
        <f>MASTER!N10</f>
        <v/>
      </c>
      <c r="O11" s="23">
        <f>MASTER!O10</f>
        <v/>
      </c>
      <c r="P11" s="21">
        <f>MASTER!P10</f>
        <v/>
      </c>
      <c r="Q11" s="21">
        <f>MASTER!Q10</f>
        <v/>
      </c>
    </row>
    <row r="12" ht="15" customHeight="1" s="14">
      <c r="A12" s="20">
        <f>MASTER!A11</f>
        <v/>
      </c>
      <c r="B12" s="21">
        <f>MASTER!B11</f>
        <v/>
      </c>
      <c r="C12" s="20">
        <f>MASTER!C11</f>
        <v/>
      </c>
      <c r="D12" s="21">
        <f>MASTER!D11</f>
        <v/>
      </c>
      <c r="E12" s="21">
        <f>MASTER!E11</f>
        <v/>
      </c>
      <c r="F12" s="21">
        <f>MASTER!F11</f>
        <v/>
      </c>
      <c r="G12" s="20">
        <f>MASTER!G11</f>
        <v/>
      </c>
      <c r="H12" s="20">
        <f>MASTER!H11</f>
        <v/>
      </c>
      <c r="I12" s="20">
        <f>MASTER!I11</f>
        <v/>
      </c>
      <c r="J12" s="20">
        <f>MASTER!J11</f>
        <v/>
      </c>
      <c r="K12" s="20">
        <f>MASTER!K11</f>
        <v/>
      </c>
      <c r="L12" s="21">
        <f>MASTER!L11</f>
        <v/>
      </c>
      <c r="M12" s="21">
        <f>MASTER!M11</f>
        <v/>
      </c>
      <c r="N12" s="21">
        <f>MASTER!N11</f>
        <v/>
      </c>
      <c r="O12" s="23">
        <f>MASTER!O11</f>
        <v/>
      </c>
      <c r="P12" s="21">
        <f>MASTER!P11</f>
        <v/>
      </c>
      <c r="Q12" s="21">
        <f>MASTER!Q11</f>
        <v/>
      </c>
    </row>
    <row r="13" ht="23.85" customHeight="1" s="14">
      <c r="A13" s="20">
        <f>MASTER!A12</f>
        <v/>
      </c>
      <c r="B13" s="21">
        <f>MASTER!B12</f>
        <v/>
      </c>
      <c r="C13" s="20">
        <f>MASTER!C12</f>
        <v/>
      </c>
      <c r="D13" s="21">
        <f>MASTER!D12</f>
        <v/>
      </c>
      <c r="E13" s="21">
        <f>MASTER!E12</f>
        <v/>
      </c>
      <c r="F13" s="21">
        <f>MASTER!F12</f>
        <v/>
      </c>
      <c r="G13" s="20">
        <f>MASTER!G12</f>
        <v/>
      </c>
      <c r="H13" s="20">
        <f>MASTER!H12</f>
        <v/>
      </c>
      <c r="I13" s="20">
        <f>MASTER!I12</f>
        <v/>
      </c>
      <c r="J13" s="20">
        <f>MASTER!J12</f>
        <v/>
      </c>
      <c r="K13" s="20">
        <f>MASTER!K12</f>
        <v/>
      </c>
      <c r="L13" s="21">
        <f>MASTER!L12</f>
        <v/>
      </c>
      <c r="M13" s="21">
        <f>MASTER!M12</f>
        <v/>
      </c>
      <c r="N13" s="21">
        <f>MASTER!N12</f>
        <v/>
      </c>
      <c r="O13" s="23">
        <f>MASTER!O12</f>
        <v/>
      </c>
      <c r="P13" s="21">
        <f>MASTER!P12</f>
        <v/>
      </c>
      <c r="Q13" s="21">
        <f>MASTER!Q12</f>
        <v/>
      </c>
    </row>
    <row r="14" ht="23.85" customHeight="1" s="14">
      <c r="A14" s="20">
        <f>MASTER!A13</f>
        <v/>
      </c>
      <c r="B14" s="21">
        <f>MASTER!B13</f>
        <v/>
      </c>
      <c r="C14" s="20">
        <f>MASTER!C13</f>
        <v/>
      </c>
      <c r="D14" s="21">
        <f>MASTER!D13</f>
        <v/>
      </c>
      <c r="E14" s="21">
        <f>MASTER!E13</f>
        <v/>
      </c>
      <c r="F14" s="21">
        <f>MASTER!F13</f>
        <v/>
      </c>
      <c r="G14" s="20">
        <f>MASTER!G13</f>
        <v/>
      </c>
      <c r="H14" s="20">
        <f>MASTER!H13</f>
        <v/>
      </c>
      <c r="I14" s="20">
        <f>MASTER!I13</f>
        <v/>
      </c>
      <c r="J14" s="20">
        <f>MASTER!J13</f>
        <v/>
      </c>
      <c r="K14" s="20">
        <f>MASTER!K13</f>
        <v/>
      </c>
      <c r="L14" s="21">
        <f>MASTER!L13</f>
        <v/>
      </c>
      <c r="M14" s="21">
        <f>MASTER!M13</f>
        <v/>
      </c>
      <c r="N14" s="21">
        <f>MASTER!N13</f>
        <v/>
      </c>
      <c r="O14" s="23">
        <f>MASTER!O13</f>
        <v/>
      </c>
      <c r="P14" s="21">
        <f>MASTER!P13</f>
        <v/>
      </c>
      <c r="Q14" s="21">
        <f>MASTER!Q13</f>
        <v/>
      </c>
    </row>
    <row r="15" ht="23.85" customHeight="1" s="14">
      <c r="A15" s="20">
        <f>MASTER!A14</f>
        <v/>
      </c>
      <c r="B15" s="21">
        <f>MASTER!B14</f>
        <v/>
      </c>
      <c r="C15" s="20">
        <f>MASTER!C14</f>
        <v/>
      </c>
      <c r="D15" s="21">
        <f>MASTER!D14</f>
        <v/>
      </c>
      <c r="E15" s="21">
        <f>MASTER!E14</f>
        <v/>
      </c>
      <c r="F15" s="21">
        <f>MASTER!F14</f>
        <v/>
      </c>
      <c r="G15" s="20">
        <f>MASTER!G14</f>
        <v/>
      </c>
      <c r="H15" s="20">
        <f>MASTER!H14</f>
        <v/>
      </c>
      <c r="I15" s="20">
        <f>MASTER!I14</f>
        <v/>
      </c>
      <c r="J15" s="20">
        <f>MASTER!J14</f>
        <v/>
      </c>
      <c r="K15" s="20">
        <f>MASTER!K14</f>
        <v/>
      </c>
      <c r="L15" s="21">
        <f>MASTER!L14</f>
        <v/>
      </c>
      <c r="M15" s="21">
        <f>MASTER!M14</f>
        <v/>
      </c>
      <c r="N15" s="21">
        <f>MASTER!N14</f>
        <v/>
      </c>
      <c r="O15" s="23">
        <f>MASTER!O14</f>
        <v/>
      </c>
      <c r="P15" s="21">
        <f>MASTER!P14</f>
        <v/>
      </c>
      <c r="Q15" s="21">
        <f>MASTER!Q14</f>
        <v/>
      </c>
    </row>
    <row r="16" ht="23.85" customHeight="1" s="14">
      <c r="A16" s="20">
        <f>MASTER!A15</f>
        <v/>
      </c>
      <c r="B16" s="21">
        <f>MASTER!B15</f>
        <v/>
      </c>
      <c r="C16" s="20">
        <f>MASTER!C15</f>
        <v/>
      </c>
      <c r="D16" s="21">
        <f>MASTER!D15</f>
        <v/>
      </c>
      <c r="E16" s="21">
        <f>MASTER!E15</f>
        <v/>
      </c>
      <c r="F16" s="21">
        <f>MASTER!F15</f>
        <v/>
      </c>
      <c r="G16" s="20">
        <f>MASTER!G15</f>
        <v/>
      </c>
      <c r="H16" s="20">
        <f>MASTER!H15</f>
        <v/>
      </c>
      <c r="I16" s="20">
        <f>MASTER!I15</f>
        <v/>
      </c>
      <c r="J16" s="20">
        <f>MASTER!J15</f>
        <v/>
      </c>
      <c r="K16" s="20">
        <f>MASTER!K15</f>
        <v/>
      </c>
      <c r="L16" s="21">
        <f>MASTER!L15</f>
        <v/>
      </c>
      <c r="M16" s="21">
        <f>MASTER!M15</f>
        <v/>
      </c>
      <c r="N16" s="21">
        <f>MASTER!N15</f>
        <v/>
      </c>
      <c r="O16" s="23">
        <f>MASTER!O15</f>
        <v/>
      </c>
      <c r="P16" s="21">
        <f>MASTER!P15</f>
        <v/>
      </c>
      <c r="Q16" s="21">
        <f>MASTER!Q15</f>
        <v/>
      </c>
    </row>
    <row r="17" ht="15" customHeight="1" s="14">
      <c r="A17" s="20">
        <f>MASTER!A16</f>
        <v/>
      </c>
      <c r="B17" s="21">
        <f>MASTER!B16</f>
        <v/>
      </c>
      <c r="C17" s="20">
        <f>MASTER!C16</f>
        <v/>
      </c>
      <c r="D17" s="21">
        <f>MASTER!D16</f>
        <v/>
      </c>
      <c r="E17" s="21">
        <f>MASTER!E16</f>
        <v/>
      </c>
      <c r="F17" s="21">
        <f>MASTER!F16</f>
        <v/>
      </c>
      <c r="G17" s="20">
        <f>MASTER!G16</f>
        <v/>
      </c>
      <c r="H17" s="20">
        <f>MASTER!H16</f>
        <v/>
      </c>
      <c r="I17" s="20">
        <f>MASTER!I16</f>
        <v/>
      </c>
      <c r="J17" s="20">
        <f>MASTER!J16</f>
        <v/>
      </c>
      <c r="K17" s="20">
        <f>MASTER!K16</f>
        <v/>
      </c>
      <c r="L17" s="21">
        <f>MASTER!L16</f>
        <v/>
      </c>
      <c r="M17" s="21">
        <f>MASTER!M16</f>
        <v/>
      </c>
      <c r="N17" s="21">
        <f>MASTER!N16</f>
        <v/>
      </c>
      <c r="O17" s="23">
        <f>MASTER!O16</f>
        <v/>
      </c>
      <c r="P17" s="21">
        <f>MASTER!P16</f>
        <v/>
      </c>
      <c r="Q17" s="21">
        <f>MASTER!Q16</f>
        <v/>
      </c>
    </row>
    <row r="18" ht="23.85" customHeight="1" s="14">
      <c r="A18" s="20">
        <f>MASTER!A17</f>
        <v/>
      </c>
      <c r="B18" s="21">
        <f>MASTER!B17</f>
        <v/>
      </c>
      <c r="C18" s="20">
        <f>MASTER!C17</f>
        <v/>
      </c>
      <c r="D18" s="21">
        <f>MASTER!D17</f>
        <v/>
      </c>
      <c r="E18" s="21">
        <f>MASTER!E17</f>
        <v/>
      </c>
      <c r="F18" s="21">
        <f>MASTER!F17</f>
        <v/>
      </c>
      <c r="G18" s="20">
        <f>MASTER!G17</f>
        <v/>
      </c>
      <c r="H18" s="20">
        <f>MASTER!H17</f>
        <v/>
      </c>
      <c r="I18" s="20">
        <f>MASTER!I17</f>
        <v/>
      </c>
      <c r="J18" s="20">
        <f>MASTER!J17</f>
        <v/>
      </c>
      <c r="K18" s="20">
        <f>MASTER!K17</f>
        <v/>
      </c>
      <c r="L18" s="21">
        <f>MASTER!L17</f>
        <v/>
      </c>
      <c r="M18" s="21">
        <f>MASTER!M17</f>
        <v/>
      </c>
      <c r="N18" s="21">
        <f>MASTER!N17</f>
        <v/>
      </c>
      <c r="O18" s="23">
        <f>MASTER!O17</f>
        <v/>
      </c>
      <c r="P18" s="21">
        <f>MASTER!P17</f>
        <v/>
      </c>
      <c r="Q18" s="21">
        <f>MASTER!Q17</f>
        <v/>
      </c>
    </row>
    <row r="19" ht="15" customHeight="1" s="14">
      <c r="A19" s="20">
        <f>MASTER!A18</f>
        <v/>
      </c>
      <c r="B19" s="21">
        <f>MASTER!B18</f>
        <v/>
      </c>
      <c r="C19" s="20">
        <f>MASTER!C18</f>
        <v/>
      </c>
      <c r="D19" s="21">
        <f>MASTER!D18</f>
        <v/>
      </c>
      <c r="E19" s="21">
        <f>MASTER!E18</f>
        <v/>
      </c>
      <c r="F19" s="21">
        <f>MASTER!F18</f>
        <v/>
      </c>
      <c r="G19" s="20">
        <f>MASTER!G18</f>
        <v/>
      </c>
      <c r="H19" s="20">
        <f>MASTER!H18</f>
        <v/>
      </c>
      <c r="I19" s="20">
        <f>MASTER!I18</f>
        <v/>
      </c>
      <c r="J19" s="20">
        <f>MASTER!J18</f>
        <v/>
      </c>
      <c r="K19" s="20">
        <f>MASTER!K18</f>
        <v/>
      </c>
      <c r="L19" s="21">
        <f>MASTER!L18</f>
        <v/>
      </c>
      <c r="M19" s="21">
        <f>MASTER!M18</f>
        <v/>
      </c>
      <c r="N19" s="21">
        <f>MASTER!N18</f>
        <v/>
      </c>
      <c r="O19" s="23">
        <f>MASTER!O18</f>
        <v/>
      </c>
      <c r="P19" s="21">
        <f>MASTER!P18</f>
        <v/>
      </c>
      <c r="Q19" s="21">
        <f>MASTER!Q18</f>
        <v/>
      </c>
    </row>
    <row r="20" ht="15" customHeight="1" s="14">
      <c r="A20" s="20">
        <f>MASTER!A19</f>
        <v/>
      </c>
      <c r="B20" s="21">
        <f>MASTER!B19</f>
        <v/>
      </c>
      <c r="C20" s="20">
        <f>MASTER!C19</f>
        <v/>
      </c>
      <c r="D20" s="21">
        <f>MASTER!D19</f>
        <v/>
      </c>
      <c r="E20" s="21">
        <f>MASTER!E19</f>
        <v/>
      </c>
      <c r="F20" s="21">
        <f>MASTER!F19</f>
        <v/>
      </c>
      <c r="G20" s="20">
        <f>MASTER!G19</f>
        <v/>
      </c>
      <c r="H20" s="20">
        <f>MASTER!H19</f>
        <v/>
      </c>
      <c r="I20" s="20">
        <f>MASTER!I19</f>
        <v/>
      </c>
      <c r="J20" s="20">
        <f>MASTER!J19</f>
        <v/>
      </c>
      <c r="K20" s="20">
        <f>MASTER!K19</f>
        <v/>
      </c>
      <c r="L20" s="21">
        <f>MASTER!L19</f>
        <v/>
      </c>
      <c r="M20" s="21">
        <f>MASTER!M19</f>
        <v/>
      </c>
      <c r="N20" s="21">
        <f>MASTER!N19</f>
        <v/>
      </c>
      <c r="O20" s="23">
        <f>MASTER!O19</f>
        <v/>
      </c>
      <c r="P20" s="21">
        <f>MASTER!P19</f>
        <v/>
      </c>
      <c r="Q20" s="21">
        <f>MASTER!Q19</f>
        <v/>
      </c>
    </row>
    <row r="21" ht="23.85" customHeight="1" s="14">
      <c r="A21" s="20">
        <f>MASTER!A20</f>
        <v/>
      </c>
      <c r="B21" s="21">
        <f>MASTER!B20</f>
        <v/>
      </c>
      <c r="C21" s="20">
        <f>MASTER!C20</f>
        <v/>
      </c>
      <c r="D21" s="21">
        <f>MASTER!D20</f>
        <v/>
      </c>
      <c r="E21" s="21">
        <f>MASTER!E20</f>
        <v/>
      </c>
      <c r="F21" s="21">
        <f>MASTER!F20</f>
        <v/>
      </c>
      <c r="G21" s="20">
        <f>MASTER!G20</f>
        <v/>
      </c>
      <c r="H21" s="20">
        <f>MASTER!H20</f>
        <v/>
      </c>
      <c r="I21" s="20">
        <f>MASTER!I20</f>
        <v/>
      </c>
      <c r="J21" s="20">
        <f>MASTER!J20</f>
        <v/>
      </c>
      <c r="K21" s="20">
        <f>MASTER!K20</f>
        <v/>
      </c>
      <c r="L21" s="21">
        <f>MASTER!L20</f>
        <v/>
      </c>
      <c r="M21" s="21">
        <f>MASTER!M20</f>
        <v/>
      </c>
      <c r="N21" s="21">
        <f>MASTER!N20</f>
        <v/>
      </c>
      <c r="O21" s="23">
        <f>MASTER!O20</f>
        <v/>
      </c>
      <c r="P21" s="21">
        <f>MASTER!P20</f>
        <v/>
      </c>
      <c r="Q21" s="21">
        <f>MASTER!Q20</f>
        <v/>
      </c>
    </row>
    <row r="22" ht="23.85" customHeight="1" s="14">
      <c r="A22" s="20">
        <f>MASTER!A21</f>
        <v/>
      </c>
      <c r="B22" s="21">
        <f>MASTER!B21</f>
        <v/>
      </c>
      <c r="C22" s="20">
        <f>MASTER!C21</f>
        <v/>
      </c>
      <c r="D22" s="21">
        <f>MASTER!D21</f>
        <v/>
      </c>
      <c r="E22" s="21">
        <f>MASTER!E21</f>
        <v/>
      </c>
      <c r="F22" s="21">
        <f>MASTER!F21</f>
        <v/>
      </c>
      <c r="G22" s="20">
        <f>MASTER!G21</f>
        <v/>
      </c>
      <c r="H22" s="20">
        <f>MASTER!H21</f>
        <v/>
      </c>
      <c r="I22" s="20">
        <f>MASTER!I21</f>
        <v/>
      </c>
      <c r="J22" s="20">
        <f>MASTER!J21</f>
        <v/>
      </c>
      <c r="K22" s="20">
        <f>MASTER!K21</f>
        <v/>
      </c>
      <c r="L22" s="21">
        <f>MASTER!L21</f>
        <v/>
      </c>
      <c r="M22" s="21">
        <f>MASTER!M21</f>
        <v/>
      </c>
      <c r="N22" s="21">
        <f>MASTER!N21</f>
        <v/>
      </c>
      <c r="O22" s="23">
        <f>MASTER!O21</f>
        <v/>
      </c>
      <c r="P22" s="21">
        <f>MASTER!P21</f>
        <v/>
      </c>
      <c r="Q22" s="21">
        <f>MASTER!Q21</f>
        <v/>
      </c>
    </row>
    <row r="23" ht="15" customHeight="1" s="14">
      <c r="A23" s="20">
        <f>MASTER!A22</f>
        <v/>
      </c>
      <c r="B23" s="21">
        <f>MASTER!B22</f>
        <v/>
      </c>
      <c r="C23" s="20">
        <f>MASTER!C22</f>
        <v/>
      </c>
      <c r="D23" s="21">
        <f>MASTER!D22</f>
        <v/>
      </c>
      <c r="E23" s="21">
        <f>MASTER!E22</f>
        <v/>
      </c>
      <c r="F23" s="21">
        <f>MASTER!F22</f>
        <v/>
      </c>
      <c r="G23" s="20">
        <f>MASTER!G22</f>
        <v/>
      </c>
      <c r="H23" s="20">
        <f>MASTER!H22</f>
        <v/>
      </c>
      <c r="I23" s="20">
        <f>MASTER!I22</f>
        <v/>
      </c>
      <c r="J23" s="20">
        <f>MASTER!J22</f>
        <v/>
      </c>
      <c r="K23" s="20">
        <f>MASTER!K22</f>
        <v/>
      </c>
      <c r="L23" s="21">
        <f>MASTER!L22</f>
        <v/>
      </c>
      <c r="M23" s="21">
        <f>MASTER!M22</f>
        <v/>
      </c>
      <c r="N23" s="21">
        <f>MASTER!N22</f>
        <v/>
      </c>
      <c r="O23" s="23">
        <f>MASTER!O22</f>
        <v/>
      </c>
      <c r="P23" s="21">
        <f>MASTER!P22</f>
        <v/>
      </c>
      <c r="Q23" s="21">
        <f>MASTER!Q22</f>
        <v/>
      </c>
    </row>
    <row r="24" ht="15" customHeight="1" s="14">
      <c r="A24" s="20">
        <f>MASTER!A23</f>
        <v/>
      </c>
      <c r="B24" s="21">
        <f>MASTER!B23</f>
        <v/>
      </c>
      <c r="C24" s="20">
        <f>MASTER!C23</f>
        <v/>
      </c>
      <c r="D24" s="21">
        <f>MASTER!D23</f>
        <v/>
      </c>
      <c r="E24" s="21">
        <f>MASTER!E23</f>
        <v/>
      </c>
      <c r="F24" s="21">
        <f>MASTER!F23</f>
        <v/>
      </c>
      <c r="G24" s="20">
        <f>MASTER!G23</f>
        <v/>
      </c>
      <c r="H24" s="20">
        <f>MASTER!H23</f>
        <v/>
      </c>
      <c r="I24" s="20">
        <f>MASTER!I23</f>
        <v/>
      </c>
      <c r="J24" s="20">
        <f>MASTER!J23</f>
        <v/>
      </c>
      <c r="K24" s="20">
        <f>MASTER!K23</f>
        <v/>
      </c>
      <c r="L24" s="21">
        <f>MASTER!L23</f>
        <v/>
      </c>
      <c r="M24" s="21">
        <f>MASTER!M23</f>
        <v/>
      </c>
      <c r="N24" s="21">
        <f>MASTER!N23</f>
        <v/>
      </c>
      <c r="O24" s="23">
        <f>MASTER!O23</f>
        <v/>
      </c>
      <c r="P24" s="21">
        <f>MASTER!P23</f>
        <v/>
      </c>
      <c r="Q24" s="21">
        <f>MASTER!Q23</f>
        <v/>
      </c>
    </row>
    <row r="25" ht="35.05" customHeight="1" s="14">
      <c r="A25" s="20">
        <f>MASTER!A24</f>
        <v/>
      </c>
      <c r="B25" s="21">
        <f>MASTER!B24</f>
        <v/>
      </c>
      <c r="C25" s="20">
        <f>MASTER!C24</f>
        <v/>
      </c>
      <c r="D25" s="21">
        <f>MASTER!D24</f>
        <v/>
      </c>
      <c r="E25" s="21">
        <f>MASTER!E24</f>
        <v/>
      </c>
      <c r="F25" s="21">
        <f>MASTER!F24</f>
        <v/>
      </c>
      <c r="G25" s="20">
        <f>MASTER!G24</f>
        <v/>
      </c>
      <c r="H25" s="20">
        <f>MASTER!H24</f>
        <v/>
      </c>
      <c r="I25" s="20">
        <f>MASTER!I24</f>
        <v/>
      </c>
      <c r="J25" s="20">
        <f>MASTER!J24</f>
        <v/>
      </c>
      <c r="K25" s="20">
        <f>MASTER!K24</f>
        <v/>
      </c>
      <c r="L25" s="21">
        <f>MASTER!L24</f>
        <v/>
      </c>
      <c r="M25" s="21">
        <f>MASTER!M24</f>
        <v/>
      </c>
      <c r="N25" s="21">
        <f>MASTER!N24</f>
        <v/>
      </c>
      <c r="O25" s="23">
        <f>MASTER!O24</f>
        <v/>
      </c>
      <c r="P25" s="21">
        <f>MASTER!P24</f>
        <v/>
      </c>
      <c r="Q25" s="21">
        <f>MASTER!Q24</f>
        <v/>
      </c>
    </row>
    <row r="26" ht="23.85" customHeight="1" s="14">
      <c r="A26" s="20">
        <f>MASTER!A25</f>
        <v/>
      </c>
      <c r="B26" s="21">
        <f>MASTER!B25</f>
        <v/>
      </c>
      <c r="C26" s="20">
        <f>MASTER!C25</f>
        <v/>
      </c>
      <c r="D26" s="21">
        <f>MASTER!D25</f>
        <v/>
      </c>
      <c r="E26" s="21">
        <f>MASTER!E25</f>
        <v/>
      </c>
      <c r="F26" s="21">
        <f>MASTER!F25</f>
        <v/>
      </c>
      <c r="G26" s="20">
        <f>MASTER!G25</f>
        <v/>
      </c>
      <c r="H26" s="20">
        <f>MASTER!H25</f>
        <v/>
      </c>
      <c r="I26" s="20">
        <f>MASTER!I25</f>
        <v/>
      </c>
      <c r="J26" s="20">
        <f>MASTER!J25</f>
        <v/>
      </c>
      <c r="K26" s="20">
        <f>MASTER!K25</f>
        <v/>
      </c>
      <c r="L26" s="21">
        <f>MASTER!L25</f>
        <v/>
      </c>
      <c r="M26" s="21">
        <f>MASTER!M25</f>
        <v/>
      </c>
      <c r="N26" s="21">
        <f>MASTER!N25</f>
        <v/>
      </c>
      <c r="O26" s="23">
        <f>MASTER!O25</f>
        <v/>
      </c>
      <c r="P26" s="21">
        <f>MASTER!P25</f>
        <v/>
      </c>
      <c r="Q26" s="21">
        <f>MASTER!Q25</f>
        <v/>
      </c>
    </row>
    <row r="27" ht="23.85" customHeight="1" s="14">
      <c r="A27" s="20">
        <f>MASTER!A26</f>
        <v/>
      </c>
      <c r="B27" s="21">
        <f>MASTER!B26</f>
        <v/>
      </c>
      <c r="C27" s="20">
        <f>MASTER!C26</f>
        <v/>
      </c>
      <c r="D27" s="21">
        <f>MASTER!D26</f>
        <v/>
      </c>
      <c r="E27" s="21">
        <f>MASTER!E26</f>
        <v/>
      </c>
      <c r="F27" s="21">
        <f>MASTER!F26</f>
        <v/>
      </c>
      <c r="G27" s="20">
        <f>MASTER!G26</f>
        <v/>
      </c>
      <c r="H27" s="20">
        <f>MASTER!H26</f>
        <v/>
      </c>
      <c r="I27" s="20">
        <f>MASTER!I26</f>
        <v/>
      </c>
      <c r="J27" s="20">
        <f>MASTER!J26</f>
        <v/>
      </c>
      <c r="K27" s="20">
        <f>MASTER!K26</f>
        <v/>
      </c>
      <c r="L27" s="21">
        <f>MASTER!L26</f>
        <v/>
      </c>
      <c r="M27" s="21">
        <f>MASTER!M26</f>
        <v/>
      </c>
      <c r="N27" s="21">
        <f>MASTER!N26</f>
        <v/>
      </c>
      <c r="O27" s="23">
        <f>MASTER!O26</f>
        <v/>
      </c>
      <c r="P27" s="21">
        <f>MASTER!P26</f>
        <v/>
      </c>
      <c r="Q27" s="21">
        <f>MASTER!Q26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30" customWidth="1" style="13" min="2" max="2"/>
    <col width="7" customWidth="1" style="13" min="3" max="3"/>
    <col width="32" customWidth="1" style="13" min="4" max="4"/>
    <col width="34" customWidth="1" style="13" min="5" max="5"/>
    <col width="42" customWidth="1" style="13" min="6" max="6"/>
    <col width="9" customWidth="1" style="13" min="7" max="10"/>
    <col width="13" customWidth="1" style="13" min="11" max="11"/>
    <col width="52" customWidth="1" style="13" min="12" max="12"/>
    <col width="26" customWidth="1" style="13" min="13" max="13"/>
    <col width="40" customWidth="1" style="13" min="14" max="14"/>
    <col width="11" customWidth="1" style="13" min="15" max="15"/>
    <col width="34" customWidth="1" style="13" min="16" max="16"/>
    <col width="44" customWidth="1" style="13" min="17" max="17"/>
  </cols>
  <sheetData>
    <row r="1" ht="15" customHeight="1" s="14">
      <c r="A1" s="24" t="inlineStr">
        <is>
          <t>Quarter 2 — Cycles 6–10 (the wet-lab stretch: respiration, membranes, enzymes) — view only; edit MASTER, this sheet follows.</t>
        </is>
      </c>
    </row>
    <row r="2" ht="30" customHeight="1" s="14">
      <c r="A2" s="19" t="inlineStr">
        <is>
          <t>Quarter (bundle)</t>
        </is>
      </c>
      <c r="B2" s="19" t="inlineStr">
        <is>
          <t>Unit</t>
        </is>
      </c>
      <c r="C2" s="19" t="inlineStr">
        <is>
          <t>Cycle</t>
        </is>
      </c>
      <c r="D2" s="19" t="inlineStr">
        <is>
          <t>Lesson / deck</t>
        </is>
      </c>
      <c r="E2" s="19" t="inlineStr">
        <is>
          <t>Activity</t>
        </is>
      </c>
      <c r="F2" s="19" t="inlineStr">
        <is>
          <t>Supply</t>
        </is>
      </c>
      <c r="G2" s="19" t="inlineStr">
        <is>
          <t>Qty per group</t>
        </is>
      </c>
      <c r="H2" s="19" t="inlineStr">
        <is>
          <t>Groups per class</t>
        </is>
      </c>
      <c r="I2" s="19" t="inlineStr">
        <is>
          <t>Number of classes</t>
        </is>
      </c>
      <c r="J2" s="19" t="inlineStr">
        <is>
          <t>Total needed</t>
        </is>
      </c>
      <c r="K2" s="19" t="inlineStr">
        <is>
          <t>Reusable / Consumable</t>
        </is>
      </c>
      <c r="L2" s="19" t="inlineStr">
        <is>
          <t>Preparation</t>
        </is>
      </c>
      <c r="M2" s="19" t="inlineStr">
        <is>
          <t>Storage</t>
        </is>
      </c>
      <c r="N2" s="19" t="inlineStr">
        <is>
          <t>Safety</t>
        </is>
      </c>
      <c r="O2" s="19" t="inlineStr">
        <is>
          <t>Approx cost (USD)</t>
        </is>
      </c>
      <c r="P2" s="19" t="inlineStr">
        <is>
          <t>Substitute</t>
        </is>
      </c>
      <c r="Q2" s="19" t="inlineStr">
        <is>
          <t>Store / purchasing link</t>
        </is>
      </c>
    </row>
    <row r="3" ht="23.85" customHeight="1" s="14">
      <c r="A3" s="20">
        <f>MASTER!A27</f>
        <v/>
      </c>
      <c r="B3" s="21">
        <f>MASTER!B27</f>
        <v/>
      </c>
      <c r="C3" s="20">
        <f>MASTER!C27</f>
        <v/>
      </c>
      <c r="D3" s="21">
        <f>MASTER!D27</f>
        <v/>
      </c>
      <c r="E3" s="21">
        <f>MASTER!E27</f>
        <v/>
      </c>
      <c r="F3" s="21">
        <f>MASTER!F27</f>
        <v/>
      </c>
      <c r="G3" s="20">
        <f>MASTER!G27</f>
        <v/>
      </c>
      <c r="H3" s="20">
        <f>MASTER!H27</f>
        <v/>
      </c>
      <c r="I3" s="20">
        <f>MASTER!I27</f>
        <v/>
      </c>
      <c r="J3" s="20">
        <f>MASTER!J27</f>
        <v/>
      </c>
      <c r="K3" s="20">
        <f>MASTER!K27</f>
        <v/>
      </c>
      <c r="L3" s="21">
        <f>MASTER!L27</f>
        <v/>
      </c>
      <c r="M3" s="21">
        <f>MASTER!M27</f>
        <v/>
      </c>
      <c r="N3" s="21">
        <f>MASTER!N27</f>
        <v/>
      </c>
      <c r="O3" s="23">
        <f>MASTER!O27</f>
        <v/>
      </c>
      <c r="P3" s="21">
        <f>MASTER!P27</f>
        <v/>
      </c>
      <c r="Q3" s="21">
        <f>MASTER!Q27</f>
        <v/>
      </c>
    </row>
    <row r="4" ht="23.85" customHeight="1" s="14">
      <c r="A4" s="20">
        <f>MASTER!A28</f>
        <v/>
      </c>
      <c r="B4" s="21">
        <f>MASTER!B28</f>
        <v/>
      </c>
      <c r="C4" s="20">
        <f>MASTER!C28</f>
        <v/>
      </c>
      <c r="D4" s="21">
        <f>MASTER!D28</f>
        <v/>
      </c>
      <c r="E4" s="21">
        <f>MASTER!E28</f>
        <v/>
      </c>
      <c r="F4" s="21">
        <f>MASTER!F28</f>
        <v/>
      </c>
      <c r="G4" s="20">
        <f>MASTER!G28</f>
        <v/>
      </c>
      <c r="H4" s="20">
        <f>MASTER!H28</f>
        <v/>
      </c>
      <c r="I4" s="20">
        <f>MASTER!I28</f>
        <v/>
      </c>
      <c r="J4" s="20">
        <f>MASTER!J28</f>
        <v/>
      </c>
      <c r="K4" s="20">
        <f>MASTER!K28</f>
        <v/>
      </c>
      <c r="L4" s="21">
        <f>MASTER!L28</f>
        <v/>
      </c>
      <c r="M4" s="21">
        <f>MASTER!M28</f>
        <v/>
      </c>
      <c r="N4" s="21">
        <f>MASTER!N28</f>
        <v/>
      </c>
      <c r="O4" s="23">
        <f>MASTER!O28</f>
        <v/>
      </c>
      <c r="P4" s="21">
        <f>MASTER!P28</f>
        <v/>
      </c>
      <c r="Q4" s="21">
        <f>MASTER!Q28</f>
        <v/>
      </c>
    </row>
    <row r="5" ht="15" customHeight="1" s="14">
      <c r="A5" s="20">
        <f>MASTER!A29</f>
        <v/>
      </c>
      <c r="B5" s="21">
        <f>MASTER!B29</f>
        <v/>
      </c>
      <c r="C5" s="20">
        <f>MASTER!C29</f>
        <v/>
      </c>
      <c r="D5" s="21">
        <f>MASTER!D29</f>
        <v/>
      </c>
      <c r="E5" s="21">
        <f>MASTER!E29</f>
        <v/>
      </c>
      <c r="F5" s="21">
        <f>MASTER!F29</f>
        <v/>
      </c>
      <c r="G5" s="20">
        <f>MASTER!G29</f>
        <v/>
      </c>
      <c r="H5" s="20">
        <f>MASTER!H29</f>
        <v/>
      </c>
      <c r="I5" s="20">
        <f>MASTER!I29</f>
        <v/>
      </c>
      <c r="J5" s="20">
        <f>MASTER!J29</f>
        <v/>
      </c>
      <c r="K5" s="20">
        <f>MASTER!K29</f>
        <v/>
      </c>
      <c r="L5" s="21">
        <f>MASTER!L29</f>
        <v/>
      </c>
      <c r="M5" s="21">
        <f>MASTER!M29</f>
        <v/>
      </c>
      <c r="N5" s="21">
        <f>MASTER!N29</f>
        <v/>
      </c>
      <c r="O5" s="23">
        <f>MASTER!O29</f>
        <v/>
      </c>
      <c r="P5" s="21">
        <f>MASTER!P29</f>
        <v/>
      </c>
      <c r="Q5" s="21">
        <f>MASTER!Q29</f>
        <v/>
      </c>
    </row>
    <row r="6" ht="15" customHeight="1" s="14">
      <c r="A6" s="20">
        <f>MASTER!A30</f>
        <v/>
      </c>
      <c r="B6" s="21">
        <f>MASTER!B30</f>
        <v/>
      </c>
      <c r="C6" s="20">
        <f>MASTER!C30</f>
        <v/>
      </c>
      <c r="D6" s="21">
        <f>MASTER!D30</f>
        <v/>
      </c>
      <c r="E6" s="21">
        <f>MASTER!E30</f>
        <v/>
      </c>
      <c r="F6" s="21">
        <f>MASTER!F30</f>
        <v/>
      </c>
      <c r="G6" s="20">
        <f>MASTER!G30</f>
        <v/>
      </c>
      <c r="H6" s="20">
        <f>MASTER!H30</f>
        <v/>
      </c>
      <c r="I6" s="20">
        <f>MASTER!I30</f>
        <v/>
      </c>
      <c r="J6" s="20">
        <f>MASTER!J30</f>
        <v/>
      </c>
      <c r="K6" s="20">
        <f>MASTER!K30</f>
        <v/>
      </c>
      <c r="L6" s="21">
        <f>MASTER!L30</f>
        <v/>
      </c>
      <c r="M6" s="21">
        <f>MASTER!M30</f>
        <v/>
      </c>
      <c r="N6" s="21">
        <f>MASTER!N30</f>
        <v/>
      </c>
      <c r="O6" s="23">
        <f>MASTER!O30</f>
        <v/>
      </c>
      <c r="P6" s="21">
        <f>MASTER!P30</f>
        <v/>
      </c>
      <c r="Q6" s="21">
        <f>MASTER!Q30</f>
        <v/>
      </c>
    </row>
    <row r="7" ht="23.85" customHeight="1" s="14">
      <c r="A7" s="20">
        <f>MASTER!A31</f>
        <v/>
      </c>
      <c r="B7" s="21">
        <f>MASTER!B31</f>
        <v/>
      </c>
      <c r="C7" s="20">
        <f>MASTER!C31</f>
        <v/>
      </c>
      <c r="D7" s="21">
        <f>MASTER!D31</f>
        <v/>
      </c>
      <c r="E7" s="21">
        <f>MASTER!E31</f>
        <v/>
      </c>
      <c r="F7" s="21">
        <f>MASTER!F31</f>
        <v/>
      </c>
      <c r="G7" s="20">
        <f>MASTER!G31</f>
        <v/>
      </c>
      <c r="H7" s="20">
        <f>MASTER!H31</f>
        <v/>
      </c>
      <c r="I7" s="20">
        <f>MASTER!I31</f>
        <v/>
      </c>
      <c r="J7" s="20">
        <f>MASTER!J31</f>
        <v/>
      </c>
      <c r="K7" s="20">
        <f>MASTER!K31</f>
        <v/>
      </c>
      <c r="L7" s="21">
        <f>MASTER!L31</f>
        <v/>
      </c>
      <c r="M7" s="21">
        <f>MASTER!M31</f>
        <v/>
      </c>
      <c r="N7" s="21">
        <f>MASTER!N31</f>
        <v/>
      </c>
      <c r="O7" s="23">
        <f>MASTER!O31</f>
        <v/>
      </c>
      <c r="P7" s="21">
        <f>MASTER!P31</f>
        <v/>
      </c>
      <c r="Q7" s="21">
        <f>MASTER!Q31</f>
        <v/>
      </c>
    </row>
    <row r="8" ht="15" customHeight="1" s="14">
      <c r="A8" s="20">
        <f>MASTER!A32</f>
        <v/>
      </c>
      <c r="B8" s="21">
        <f>MASTER!B32</f>
        <v/>
      </c>
      <c r="C8" s="20">
        <f>MASTER!C32</f>
        <v/>
      </c>
      <c r="D8" s="21">
        <f>MASTER!D32</f>
        <v/>
      </c>
      <c r="E8" s="21">
        <f>MASTER!E32</f>
        <v/>
      </c>
      <c r="F8" s="21">
        <f>MASTER!F32</f>
        <v/>
      </c>
      <c r="G8" s="20">
        <f>MASTER!G32</f>
        <v/>
      </c>
      <c r="H8" s="20">
        <f>MASTER!H32</f>
        <v/>
      </c>
      <c r="I8" s="20">
        <f>MASTER!I32</f>
        <v/>
      </c>
      <c r="J8" s="20">
        <f>MASTER!J32</f>
        <v/>
      </c>
      <c r="K8" s="20">
        <f>MASTER!K32</f>
        <v/>
      </c>
      <c r="L8" s="21">
        <f>MASTER!L32</f>
        <v/>
      </c>
      <c r="M8" s="21">
        <f>MASTER!M32</f>
        <v/>
      </c>
      <c r="N8" s="21">
        <f>MASTER!N32</f>
        <v/>
      </c>
      <c r="O8" s="23">
        <f>MASTER!O32</f>
        <v/>
      </c>
      <c r="P8" s="21">
        <f>MASTER!P32</f>
        <v/>
      </c>
      <c r="Q8" s="21">
        <f>MASTER!Q32</f>
        <v/>
      </c>
    </row>
    <row r="9" ht="15" customHeight="1" s="14">
      <c r="A9" s="20">
        <f>MASTER!A33</f>
        <v/>
      </c>
      <c r="B9" s="21">
        <f>MASTER!B33</f>
        <v/>
      </c>
      <c r="C9" s="20">
        <f>MASTER!C33</f>
        <v/>
      </c>
      <c r="D9" s="21">
        <f>MASTER!D33</f>
        <v/>
      </c>
      <c r="E9" s="21">
        <f>MASTER!E33</f>
        <v/>
      </c>
      <c r="F9" s="21">
        <f>MASTER!F33</f>
        <v/>
      </c>
      <c r="G9" s="20">
        <f>MASTER!G33</f>
        <v/>
      </c>
      <c r="H9" s="20">
        <f>MASTER!H33</f>
        <v/>
      </c>
      <c r="I9" s="20">
        <f>MASTER!I33</f>
        <v/>
      </c>
      <c r="J9" s="20">
        <f>MASTER!J33</f>
        <v/>
      </c>
      <c r="K9" s="20">
        <f>MASTER!K33</f>
        <v/>
      </c>
      <c r="L9" s="21">
        <f>MASTER!L33</f>
        <v/>
      </c>
      <c r="M9" s="21">
        <f>MASTER!M33</f>
        <v/>
      </c>
      <c r="N9" s="21">
        <f>MASTER!N33</f>
        <v/>
      </c>
      <c r="O9" s="23">
        <f>MASTER!O33</f>
        <v/>
      </c>
      <c r="P9" s="21">
        <f>MASTER!P33</f>
        <v/>
      </c>
      <c r="Q9" s="21">
        <f>MASTER!Q33</f>
        <v/>
      </c>
    </row>
    <row r="10" ht="35.05" customHeight="1" s="14">
      <c r="A10" s="20">
        <f>MASTER!A34</f>
        <v/>
      </c>
      <c r="B10" s="21">
        <f>MASTER!B34</f>
        <v/>
      </c>
      <c r="C10" s="20">
        <f>MASTER!C34</f>
        <v/>
      </c>
      <c r="D10" s="21">
        <f>MASTER!D34</f>
        <v/>
      </c>
      <c r="E10" s="21">
        <f>MASTER!E34</f>
        <v/>
      </c>
      <c r="F10" s="21">
        <f>MASTER!F34</f>
        <v/>
      </c>
      <c r="G10" s="20">
        <f>MASTER!G34</f>
        <v/>
      </c>
      <c r="H10" s="20">
        <f>MASTER!H34</f>
        <v/>
      </c>
      <c r="I10" s="20">
        <f>MASTER!I34</f>
        <v/>
      </c>
      <c r="J10" s="20">
        <f>MASTER!J34</f>
        <v/>
      </c>
      <c r="K10" s="20">
        <f>MASTER!K34</f>
        <v/>
      </c>
      <c r="L10" s="21">
        <f>MASTER!L34</f>
        <v/>
      </c>
      <c r="M10" s="21">
        <f>MASTER!M34</f>
        <v/>
      </c>
      <c r="N10" s="21">
        <f>MASTER!N34</f>
        <v/>
      </c>
      <c r="O10" s="23">
        <f>MASTER!O34</f>
        <v/>
      </c>
      <c r="P10" s="21">
        <f>MASTER!P34</f>
        <v/>
      </c>
      <c r="Q10" s="21">
        <f>MASTER!Q34</f>
        <v/>
      </c>
    </row>
    <row r="11" ht="35.05" customHeight="1" s="14">
      <c r="A11" s="20">
        <f>MASTER!A35</f>
        <v/>
      </c>
      <c r="B11" s="21">
        <f>MASTER!B35</f>
        <v/>
      </c>
      <c r="C11" s="20">
        <f>MASTER!C35</f>
        <v/>
      </c>
      <c r="D11" s="21">
        <f>MASTER!D35</f>
        <v/>
      </c>
      <c r="E11" s="21">
        <f>MASTER!E35</f>
        <v/>
      </c>
      <c r="F11" s="21">
        <f>MASTER!F35</f>
        <v/>
      </c>
      <c r="G11" s="20">
        <f>MASTER!G35</f>
        <v/>
      </c>
      <c r="H11" s="20">
        <f>MASTER!H35</f>
        <v/>
      </c>
      <c r="I11" s="20">
        <f>MASTER!I35</f>
        <v/>
      </c>
      <c r="J11" s="20">
        <f>MASTER!J35</f>
        <v/>
      </c>
      <c r="K11" s="20">
        <f>MASTER!K35</f>
        <v/>
      </c>
      <c r="L11" s="21">
        <f>MASTER!L35</f>
        <v/>
      </c>
      <c r="M11" s="21">
        <f>MASTER!M35</f>
        <v/>
      </c>
      <c r="N11" s="21">
        <f>MASTER!N35</f>
        <v/>
      </c>
      <c r="O11" s="23">
        <f>MASTER!O35</f>
        <v/>
      </c>
      <c r="P11" s="21">
        <f>MASTER!P35</f>
        <v/>
      </c>
      <c r="Q11" s="21">
        <f>MASTER!Q35</f>
        <v/>
      </c>
    </row>
    <row r="12" ht="35.05" customHeight="1" s="14">
      <c r="A12" s="20">
        <f>MASTER!A36</f>
        <v/>
      </c>
      <c r="B12" s="21">
        <f>MASTER!B36</f>
        <v/>
      </c>
      <c r="C12" s="20">
        <f>MASTER!C36</f>
        <v/>
      </c>
      <c r="D12" s="21">
        <f>MASTER!D36</f>
        <v/>
      </c>
      <c r="E12" s="21">
        <f>MASTER!E36</f>
        <v/>
      </c>
      <c r="F12" s="21">
        <f>MASTER!F36</f>
        <v/>
      </c>
      <c r="G12" s="20">
        <f>MASTER!G36</f>
        <v/>
      </c>
      <c r="H12" s="20">
        <f>MASTER!H36</f>
        <v/>
      </c>
      <c r="I12" s="20">
        <f>MASTER!I36</f>
        <v/>
      </c>
      <c r="J12" s="20">
        <f>MASTER!J36</f>
        <v/>
      </c>
      <c r="K12" s="20">
        <f>MASTER!K36</f>
        <v/>
      </c>
      <c r="L12" s="21">
        <f>MASTER!L36</f>
        <v/>
      </c>
      <c r="M12" s="21">
        <f>MASTER!M36</f>
        <v/>
      </c>
      <c r="N12" s="21">
        <f>MASTER!N36</f>
        <v/>
      </c>
      <c r="O12" s="23">
        <f>MASTER!O36</f>
        <v/>
      </c>
      <c r="P12" s="21">
        <f>MASTER!P36</f>
        <v/>
      </c>
      <c r="Q12" s="21">
        <f>MASTER!Q36</f>
        <v/>
      </c>
    </row>
    <row r="13" ht="23.85" customHeight="1" s="14">
      <c r="A13" s="20">
        <f>MASTER!A37</f>
        <v/>
      </c>
      <c r="B13" s="21">
        <f>MASTER!B37</f>
        <v/>
      </c>
      <c r="C13" s="20">
        <f>MASTER!C37</f>
        <v/>
      </c>
      <c r="D13" s="21">
        <f>MASTER!D37</f>
        <v/>
      </c>
      <c r="E13" s="21">
        <f>MASTER!E37</f>
        <v/>
      </c>
      <c r="F13" s="21">
        <f>MASTER!F37</f>
        <v/>
      </c>
      <c r="G13" s="20">
        <f>MASTER!G37</f>
        <v/>
      </c>
      <c r="H13" s="20">
        <f>MASTER!H37</f>
        <v/>
      </c>
      <c r="I13" s="20">
        <f>MASTER!I37</f>
        <v/>
      </c>
      <c r="J13" s="20">
        <f>MASTER!J37</f>
        <v/>
      </c>
      <c r="K13" s="20">
        <f>MASTER!K37</f>
        <v/>
      </c>
      <c r="L13" s="21">
        <f>MASTER!L37</f>
        <v/>
      </c>
      <c r="M13" s="21">
        <f>MASTER!M37</f>
        <v/>
      </c>
      <c r="N13" s="21">
        <f>MASTER!N37</f>
        <v/>
      </c>
      <c r="O13" s="23">
        <f>MASTER!O37</f>
        <v/>
      </c>
      <c r="P13" s="21">
        <f>MASTER!P37</f>
        <v/>
      </c>
      <c r="Q13" s="21">
        <f>MASTER!Q37</f>
        <v/>
      </c>
    </row>
    <row r="14" ht="23.85" customHeight="1" s="14">
      <c r="A14" s="20">
        <f>MASTER!A38</f>
        <v/>
      </c>
      <c r="B14" s="21">
        <f>MASTER!B38</f>
        <v/>
      </c>
      <c r="C14" s="20">
        <f>MASTER!C38</f>
        <v/>
      </c>
      <c r="D14" s="21">
        <f>MASTER!D38</f>
        <v/>
      </c>
      <c r="E14" s="21">
        <f>MASTER!E38</f>
        <v/>
      </c>
      <c r="F14" s="21">
        <f>MASTER!F38</f>
        <v/>
      </c>
      <c r="G14" s="20">
        <f>MASTER!G38</f>
        <v/>
      </c>
      <c r="H14" s="20">
        <f>MASTER!H38</f>
        <v/>
      </c>
      <c r="I14" s="20">
        <f>MASTER!I38</f>
        <v/>
      </c>
      <c r="J14" s="20">
        <f>MASTER!J38</f>
        <v/>
      </c>
      <c r="K14" s="20">
        <f>MASTER!K38</f>
        <v/>
      </c>
      <c r="L14" s="21">
        <f>MASTER!L38</f>
        <v/>
      </c>
      <c r="M14" s="21">
        <f>MASTER!M38</f>
        <v/>
      </c>
      <c r="N14" s="21">
        <f>MASTER!N38</f>
        <v/>
      </c>
      <c r="O14" s="23">
        <f>MASTER!O38</f>
        <v/>
      </c>
      <c r="P14" s="21">
        <f>MASTER!P38</f>
        <v/>
      </c>
      <c r="Q14" s="21">
        <f>MASTER!Q38</f>
        <v/>
      </c>
    </row>
    <row r="15" ht="46.25" customHeight="1" s="14">
      <c r="A15" s="20">
        <f>MASTER!A39</f>
        <v/>
      </c>
      <c r="B15" s="21">
        <f>MASTER!B39</f>
        <v/>
      </c>
      <c r="C15" s="20">
        <f>MASTER!C39</f>
        <v/>
      </c>
      <c r="D15" s="21">
        <f>MASTER!D39</f>
        <v/>
      </c>
      <c r="E15" s="21">
        <f>MASTER!E39</f>
        <v/>
      </c>
      <c r="F15" s="21">
        <f>MASTER!F39</f>
        <v/>
      </c>
      <c r="G15" s="20">
        <f>MASTER!G39</f>
        <v/>
      </c>
      <c r="H15" s="20">
        <f>MASTER!H39</f>
        <v/>
      </c>
      <c r="I15" s="20">
        <f>MASTER!I39</f>
        <v/>
      </c>
      <c r="J15" s="20">
        <f>MASTER!J39</f>
        <v/>
      </c>
      <c r="K15" s="20">
        <f>MASTER!K39</f>
        <v/>
      </c>
      <c r="L15" s="21">
        <f>MASTER!L39</f>
        <v/>
      </c>
      <c r="M15" s="21">
        <f>MASTER!M39</f>
        <v/>
      </c>
      <c r="N15" s="21">
        <f>MASTER!N39</f>
        <v/>
      </c>
      <c r="O15" s="23">
        <f>MASTER!O39</f>
        <v/>
      </c>
      <c r="P15" s="21">
        <f>MASTER!P39</f>
        <v/>
      </c>
      <c r="Q15" s="21">
        <f>MASTER!Q39</f>
        <v/>
      </c>
    </row>
    <row r="16" ht="23.85" customHeight="1" s="14">
      <c r="A16" s="20">
        <f>MASTER!A40</f>
        <v/>
      </c>
      <c r="B16" s="21">
        <f>MASTER!B40</f>
        <v/>
      </c>
      <c r="C16" s="20">
        <f>MASTER!C40</f>
        <v/>
      </c>
      <c r="D16" s="21">
        <f>MASTER!D40</f>
        <v/>
      </c>
      <c r="E16" s="21">
        <f>MASTER!E40</f>
        <v/>
      </c>
      <c r="F16" s="21">
        <f>MASTER!F40</f>
        <v/>
      </c>
      <c r="G16" s="20">
        <f>MASTER!G40</f>
        <v/>
      </c>
      <c r="H16" s="20">
        <f>MASTER!H40</f>
        <v/>
      </c>
      <c r="I16" s="20">
        <f>MASTER!I40</f>
        <v/>
      </c>
      <c r="J16" s="20">
        <f>MASTER!J40</f>
        <v/>
      </c>
      <c r="K16" s="20">
        <f>MASTER!K40</f>
        <v/>
      </c>
      <c r="L16" s="21">
        <f>MASTER!L40</f>
        <v/>
      </c>
      <c r="M16" s="21">
        <f>MASTER!M40</f>
        <v/>
      </c>
      <c r="N16" s="21">
        <f>MASTER!N40</f>
        <v/>
      </c>
      <c r="O16" s="23">
        <f>MASTER!O40</f>
        <v/>
      </c>
      <c r="P16" s="21">
        <f>MASTER!P40</f>
        <v/>
      </c>
      <c r="Q16" s="21">
        <f>MASTER!Q40</f>
        <v/>
      </c>
    </row>
    <row r="17" ht="23.85" customHeight="1" s="14">
      <c r="A17" s="20">
        <f>MASTER!A41</f>
        <v/>
      </c>
      <c r="B17" s="21">
        <f>MASTER!B41</f>
        <v/>
      </c>
      <c r="C17" s="20">
        <f>MASTER!C41</f>
        <v/>
      </c>
      <c r="D17" s="21">
        <f>MASTER!D41</f>
        <v/>
      </c>
      <c r="E17" s="21">
        <f>MASTER!E41</f>
        <v/>
      </c>
      <c r="F17" s="21">
        <f>MASTER!F41</f>
        <v/>
      </c>
      <c r="G17" s="20">
        <f>MASTER!G41</f>
        <v/>
      </c>
      <c r="H17" s="20">
        <f>MASTER!H41</f>
        <v/>
      </c>
      <c r="I17" s="20">
        <f>MASTER!I41</f>
        <v/>
      </c>
      <c r="J17" s="20">
        <f>MASTER!J41</f>
        <v/>
      </c>
      <c r="K17" s="20">
        <f>MASTER!K41</f>
        <v/>
      </c>
      <c r="L17" s="21">
        <f>MASTER!L41</f>
        <v/>
      </c>
      <c r="M17" s="21">
        <f>MASTER!M41</f>
        <v/>
      </c>
      <c r="N17" s="21">
        <f>MASTER!N41</f>
        <v/>
      </c>
      <c r="O17" s="23">
        <f>MASTER!O41</f>
        <v/>
      </c>
      <c r="P17" s="21">
        <f>MASTER!P41</f>
        <v/>
      </c>
      <c r="Q17" s="21">
        <f>MASTER!Q41</f>
        <v/>
      </c>
    </row>
    <row r="18" ht="23.85" customHeight="1" s="14">
      <c r="A18" s="20">
        <f>MASTER!A42</f>
        <v/>
      </c>
      <c r="B18" s="21">
        <f>MASTER!B42</f>
        <v/>
      </c>
      <c r="C18" s="20">
        <f>MASTER!C42</f>
        <v/>
      </c>
      <c r="D18" s="21">
        <f>MASTER!D42</f>
        <v/>
      </c>
      <c r="E18" s="21">
        <f>MASTER!E42</f>
        <v/>
      </c>
      <c r="F18" s="21">
        <f>MASTER!F42</f>
        <v/>
      </c>
      <c r="G18" s="20">
        <f>MASTER!G42</f>
        <v/>
      </c>
      <c r="H18" s="20">
        <f>MASTER!H42</f>
        <v/>
      </c>
      <c r="I18" s="20">
        <f>MASTER!I42</f>
        <v/>
      </c>
      <c r="J18" s="20">
        <f>MASTER!J42</f>
        <v/>
      </c>
      <c r="K18" s="20">
        <f>MASTER!K42</f>
        <v/>
      </c>
      <c r="L18" s="21">
        <f>MASTER!L42</f>
        <v/>
      </c>
      <c r="M18" s="21">
        <f>MASTER!M42</f>
        <v/>
      </c>
      <c r="N18" s="21">
        <f>MASTER!N42</f>
        <v/>
      </c>
      <c r="O18" s="23">
        <f>MASTER!O42</f>
        <v/>
      </c>
      <c r="P18" s="21">
        <f>MASTER!P42</f>
        <v/>
      </c>
      <c r="Q18" s="21">
        <f>MASTER!Q42</f>
        <v/>
      </c>
    </row>
    <row r="19" ht="23.85" customHeight="1" s="14">
      <c r="A19" s="20">
        <f>MASTER!A43</f>
        <v/>
      </c>
      <c r="B19" s="21">
        <f>MASTER!B43</f>
        <v/>
      </c>
      <c r="C19" s="20">
        <f>MASTER!C43</f>
        <v/>
      </c>
      <c r="D19" s="21">
        <f>MASTER!D43</f>
        <v/>
      </c>
      <c r="E19" s="21">
        <f>MASTER!E43</f>
        <v/>
      </c>
      <c r="F19" s="21">
        <f>MASTER!F43</f>
        <v/>
      </c>
      <c r="G19" s="20">
        <f>MASTER!G43</f>
        <v/>
      </c>
      <c r="H19" s="20">
        <f>MASTER!H43</f>
        <v/>
      </c>
      <c r="I19" s="20">
        <f>MASTER!I43</f>
        <v/>
      </c>
      <c r="J19" s="20">
        <f>MASTER!J43</f>
        <v/>
      </c>
      <c r="K19" s="20">
        <f>MASTER!K43</f>
        <v/>
      </c>
      <c r="L19" s="21">
        <f>MASTER!L43</f>
        <v/>
      </c>
      <c r="M19" s="21">
        <f>MASTER!M43</f>
        <v/>
      </c>
      <c r="N19" s="21">
        <f>MASTER!N43</f>
        <v/>
      </c>
      <c r="O19" s="23">
        <f>MASTER!O43</f>
        <v/>
      </c>
      <c r="P19" s="21">
        <f>MASTER!P43</f>
        <v/>
      </c>
      <c r="Q19" s="21">
        <f>MASTER!Q43</f>
        <v/>
      </c>
    </row>
    <row r="20" ht="15" customHeight="1" s="14">
      <c r="A20" s="20">
        <f>MASTER!A44</f>
        <v/>
      </c>
      <c r="B20" s="21">
        <f>MASTER!B44</f>
        <v/>
      </c>
      <c r="C20" s="20">
        <f>MASTER!C44</f>
        <v/>
      </c>
      <c r="D20" s="21">
        <f>MASTER!D44</f>
        <v/>
      </c>
      <c r="E20" s="21">
        <f>MASTER!E44</f>
        <v/>
      </c>
      <c r="F20" s="21">
        <f>MASTER!F44</f>
        <v/>
      </c>
      <c r="G20" s="20">
        <f>MASTER!G44</f>
        <v/>
      </c>
      <c r="H20" s="20">
        <f>MASTER!H44</f>
        <v/>
      </c>
      <c r="I20" s="20">
        <f>MASTER!I44</f>
        <v/>
      </c>
      <c r="J20" s="20">
        <f>MASTER!J44</f>
        <v/>
      </c>
      <c r="K20" s="20">
        <f>MASTER!K44</f>
        <v/>
      </c>
      <c r="L20" s="21">
        <f>MASTER!L44</f>
        <v/>
      </c>
      <c r="M20" s="21">
        <f>MASTER!M44</f>
        <v/>
      </c>
      <c r="N20" s="21">
        <f>MASTER!N44</f>
        <v/>
      </c>
      <c r="O20" s="23">
        <f>MASTER!O44</f>
        <v/>
      </c>
      <c r="P20" s="21">
        <f>MASTER!P44</f>
        <v/>
      </c>
      <c r="Q20" s="21">
        <f>MASTER!Q44</f>
        <v/>
      </c>
    </row>
    <row r="21" ht="23.85" customHeight="1" s="14">
      <c r="A21" s="20">
        <f>MASTER!A45</f>
        <v/>
      </c>
      <c r="B21" s="21">
        <f>MASTER!B45</f>
        <v/>
      </c>
      <c r="C21" s="20">
        <f>MASTER!C45</f>
        <v/>
      </c>
      <c r="D21" s="21">
        <f>MASTER!D45</f>
        <v/>
      </c>
      <c r="E21" s="21">
        <f>MASTER!E45</f>
        <v/>
      </c>
      <c r="F21" s="21">
        <f>MASTER!F45</f>
        <v/>
      </c>
      <c r="G21" s="20">
        <f>MASTER!G45</f>
        <v/>
      </c>
      <c r="H21" s="20">
        <f>MASTER!H45</f>
        <v/>
      </c>
      <c r="I21" s="20">
        <f>MASTER!I45</f>
        <v/>
      </c>
      <c r="J21" s="20">
        <f>MASTER!J45</f>
        <v/>
      </c>
      <c r="K21" s="20">
        <f>MASTER!K45</f>
        <v/>
      </c>
      <c r="L21" s="21">
        <f>MASTER!L45</f>
        <v/>
      </c>
      <c r="M21" s="21">
        <f>MASTER!M45</f>
        <v/>
      </c>
      <c r="N21" s="21">
        <f>MASTER!N45</f>
        <v/>
      </c>
      <c r="O21" s="23">
        <f>MASTER!O45</f>
        <v/>
      </c>
      <c r="P21" s="21">
        <f>MASTER!P45</f>
        <v/>
      </c>
      <c r="Q21" s="21">
        <f>MASTER!Q45</f>
        <v/>
      </c>
    </row>
    <row r="22" ht="23.85" customHeight="1" s="14">
      <c r="A22" s="20">
        <f>MASTER!A46</f>
        <v/>
      </c>
      <c r="B22" s="21">
        <f>MASTER!B46</f>
        <v/>
      </c>
      <c r="C22" s="20">
        <f>MASTER!C46</f>
        <v/>
      </c>
      <c r="D22" s="21">
        <f>MASTER!D46</f>
        <v/>
      </c>
      <c r="E22" s="21">
        <f>MASTER!E46</f>
        <v/>
      </c>
      <c r="F22" s="21">
        <f>MASTER!F46</f>
        <v/>
      </c>
      <c r="G22" s="20">
        <f>MASTER!G46</f>
        <v/>
      </c>
      <c r="H22" s="20">
        <f>MASTER!H46</f>
        <v/>
      </c>
      <c r="I22" s="20">
        <f>MASTER!I46</f>
        <v/>
      </c>
      <c r="J22" s="20">
        <f>MASTER!J46</f>
        <v/>
      </c>
      <c r="K22" s="20">
        <f>MASTER!K46</f>
        <v/>
      </c>
      <c r="L22" s="21">
        <f>MASTER!L46</f>
        <v/>
      </c>
      <c r="M22" s="21">
        <f>MASTER!M46</f>
        <v/>
      </c>
      <c r="N22" s="21">
        <f>MASTER!N46</f>
        <v/>
      </c>
      <c r="O22" s="23">
        <f>MASTER!O46</f>
        <v/>
      </c>
      <c r="P22" s="21">
        <f>MASTER!P46</f>
        <v/>
      </c>
      <c r="Q22" s="21">
        <f>MASTER!Q46</f>
        <v/>
      </c>
    </row>
    <row r="23" ht="23.85" customHeight="1" s="14">
      <c r="A23" s="20">
        <f>MASTER!A47</f>
        <v/>
      </c>
      <c r="B23" s="21">
        <f>MASTER!B47</f>
        <v/>
      </c>
      <c r="C23" s="20">
        <f>MASTER!C47</f>
        <v/>
      </c>
      <c r="D23" s="21">
        <f>MASTER!D47</f>
        <v/>
      </c>
      <c r="E23" s="21">
        <f>MASTER!E47</f>
        <v/>
      </c>
      <c r="F23" s="21">
        <f>MASTER!F47</f>
        <v/>
      </c>
      <c r="G23" s="20">
        <f>MASTER!G47</f>
        <v/>
      </c>
      <c r="H23" s="20">
        <f>MASTER!H47</f>
        <v/>
      </c>
      <c r="I23" s="20">
        <f>MASTER!I47</f>
        <v/>
      </c>
      <c r="J23" s="20">
        <f>MASTER!J47</f>
        <v/>
      </c>
      <c r="K23" s="20">
        <f>MASTER!K47</f>
        <v/>
      </c>
      <c r="L23" s="21">
        <f>MASTER!L47</f>
        <v/>
      </c>
      <c r="M23" s="21">
        <f>MASTER!M47</f>
        <v/>
      </c>
      <c r="N23" s="21">
        <f>MASTER!N47</f>
        <v/>
      </c>
      <c r="O23" s="23">
        <f>MASTER!O47</f>
        <v/>
      </c>
      <c r="P23" s="21">
        <f>MASTER!P47</f>
        <v/>
      </c>
      <c r="Q23" s="21">
        <f>MASTER!Q47</f>
        <v/>
      </c>
    </row>
    <row r="24" ht="23.85" customHeight="1" s="14">
      <c r="A24" s="20">
        <f>MASTER!A48</f>
        <v/>
      </c>
      <c r="B24" s="21">
        <f>MASTER!B48</f>
        <v/>
      </c>
      <c r="C24" s="20">
        <f>MASTER!C48</f>
        <v/>
      </c>
      <c r="D24" s="21">
        <f>MASTER!D48</f>
        <v/>
      </c>
      <c r="E24" s="21">
        <f>MASTER!E48</f>
        <v/>
      </c>
      <c r="F24" s="21">
        <f>MASTER!F48</f>
        <v/>
      </c>
      <c r="G24" s="20">
        <f>MASTER!G48</f>
        <v/>
      </c>
      <c r="H24" s="20">
        <f>MASTER!H48</f>
        <v/>
      </c>
      <c r="I24" s="20">
        <f>MASTER!I48</f>
        <v/>
      </c>
      <c r="J24" s="20">
        <f>MASTER!J48</f>
        <v/>
      </c>
      <c r="K24" s="20">
        <f>MASTER!K48</f>
        <v/>
      </c>
      <c r="L24" s="21">
        <f>MASTER!L48</f>
        <v/>
      </c>
      <c r="M24" s="21">
        <f>MASTER!M48</f>
        <v/>
      </c>
      <c r="N24" s="21">
        <f>MASTER!N48</f>
        <v/>
      </c>
      <c r="O24" s="23">
        <f>MASTER!O48</f>
        <v/>
      </c>
      <c r="P24" s="21">
        <f>MASTER!P48</f>
        <v/>
      </c>
      <c r="Q24" s="21">
        <f>MASTER!Q48</f>
        <v/>
      </c>
    </row>
    <row r="25" ht="15" customHeight="1" s="14">
      <c r="A25" s="20">
        <f>MASTER!A49</f>
        <v/>
      </c>
      <c r="B25" s="21">
        <f>MASTER!B49</f>
        <v/>
      </c>
      <c r="C25" s="20">
        <f>MASTER!C49</f>
        <v/>
      </c>
      <c r="D25" s="21">
        <f>MASTER!D49</f>
        <v/>
      </c>
      <c r="E25" s="21">
        <f>MASTER!E49</f>
        <v/>
      </c>
      <c r="F25" s="21">
        <f>MASTER!F49</f>
        <v/>
      </c>
      <c r="G25" s="20">
        <f>MASTER!G49</f>
        <v/>
      </c>
      <c r="H25" s="20">
        <f>MASTER!H49</f>
        <v/>
      </c>
      <c r="I25" s="20">
        <f>MASTER!I49</f>
        <v/>
      </c>
      <c r="J25" s="20">
        <f>MASTER!J49</f>
        <v/>
      </c>
      <c r="K25" s="20">
        <f>MASTER!K49</f>
        <v/>
      </c>
      <c r="L25" s="21">
        <f>MASTER!L49</f>
        <v/>
      </c>
      <c r="M25" s="21">
        <f>MASTER!M49</f>
        <v/>
      </c>
      <c r="N25" s="21">
        <f>MASTER!N49</f>
        <v/>
      </c>
      <c r="O25" s="23">
        <f>MASTER!O49</f>
        <v/>
      </c>
      <c r="P25" s="21">
        <f>MASTER!P49</f>
        <v/>
      </c>
      <c r="Q25" s="21">
        <f>MASTER!Q49</f>
        <v/>
      </c>
    </row>
    <row r="26" ht="15" customHeight="1" s="14">
      <c r="A26" s="20">
        <f>MASTER!A50</f>
        <v/>
      </c>
      <c r="B26" s="21">
        <f>MASTER!B50</f>
        <v/>
      </c>
      <c r="C26" s="20">
        <f>MASTER!C50</f>
        <v/>
      </c>
      <c r="D26" s="21">
        <f>MASTER!D50</f>
        <v/>
      </c>
      <c r="E26" s="21">
        <f>MASTER!E50</f>
        <v/>
      </c>
      <c r="F26" s="21">
        <f>MASTER!F50</f>
        <v/>
      </c>
      <c r="G26" s="20">
        <f>MASTER!G50</f>
        <v/>
      </c>
      <c r="H26" s="20">
        <f>MASTER!H50</f>
        <v/>
      </c>
      <c r="I26" s="20">
        <f>MASTER!I50</f>
        <v/>
      </c>
      <c r="J26" s="20">
        <f>MASTER!J50</f>
        <v/>
      </c>
      <c r="K26" s="20">
        <f>MASTER!K50</f>
        <v/>
      </c>
      <c r="L26" s="21">
        <f>MASTER!L50</f>
        <v/>
      </c>
      <c r="M26" s="21">
        <f>MASTER!M50</f>
        <v/>
      </c>
      <c r="N26" s="21">
        <f>MASTER!N50</f>
        <v/>
      </c>
      <c r="O26" s="23">
        <f>MASTER!O50</f>
        <v/>
      </c>
      <c r="P26" s="21">
        <f>MASTER!P50</f>
        <v/>
      </c>
      <c r="Q26" s="21">
        <f>MASTER!Q50</f>
        <v/>
      </c>
    </row>
    <row r="27" ht="15" customHeight="1" s="14">
      <c r="A27" s="20">
        <f>MASTER!A51</f>
        <v/>
      </c>
      <c r="B27" s="21">
        <f>MASTER!B51</f>
        <v/>
      </c>
      <c r="C27" s="20">
        <f>MASTER!C51</f>
        <v/>
      </c>
      <c r="D27" s="21">
        <f>MASTER!D51</f>
        <v/>
      </c>
      <c r="E27" s="21">
        <f>MASTER!E51</f>
        <v/>
      </c>
      <c r="F27" s="21">
        <f>MASTER!F51</f>
        <v/>
      </c>
      <c r="G27" s="20">
        <f>MASTER!G51</f>
        <v/>
      </c>
      <c r="H27" s="20">
        <f>MASTER!H51</f>
        <v/>
      </c>
      <c r="I27" s="20">
        <f>MASTER!I51</f>
        <v/>
      </c>
      <c r="J27" s="20">
        <f>MASTER!J51</f>
        <v/>
      </c>
      <c r="K27" s="20">
        <f>MASTER!K51</f>
        <v/>
      </c>
      <c r="L27" s="21">
        <f>MASTER!L51</f>
        <v/>
      </c>
      <c r="M27" s="21">
        <f>MASTER!M51</f>
        <v/>
      </c>
      <c r="N27" s="21">
        <f>MASTER!N51</f>
        <v/>
      </c>
      <c r="O27" s="23">
        <f>MASTER!O51</f>
        <v/>
      </c>
      <c r="P27" s="21">
        <f>MASTER!P51</f>
        <v/>
      </c>
      <c r="Q27" s="21">
        <f>MASTER!Q51</f>
        <v/>
      </c>
    </row>
    <row r="28" ht="15" customHeight="1" s="14">
      <c r="A28" s="20">
        <f>MASTER!A52</f>
        <v/>
      </c>
      <c r="B28" s="21">
        <f>MASTER!B52</f>
        <v/>
      </c>
      <c r="C28" s="20">
        <f>MASTER!C52</f>
        <v/>
      </c>
      <c r="D28" s="21">
        <f>MASTER!D52</f>
        <v/>
      </c>
      <c r="E28" s="21">
        <f>MASTER!E52</f>
        <v/>
      </c>
      <c r="F28" s="21">
        <f>MASTER!F52</f>
        <v/>
      </c>
      <c r="G28" s="20">
        <f>MASTER!G52</f>
        <v/>
      </c>
      <c r="H28" s="20">
        <f>MASTER!H52</f>
        <v/>
      </c>
      <c r="I28" s="20">
        <f>MASTER!I52</f>
        <v/>
      </c>
      <c r="J28" s="20">
        <f>MASTER!J52</f>
        <v/>
      </c>
      <c r="K28" s="20">
        <f>MASTER!K52</f>
        <v/>
      </c>
      <c r="L28" s="21">
        <f>MASTER!L52</f>
        <v/>
      </c>
      <c r="M28" s="21">
        <f>MASTER!M52</f>
        <v/>
      </c>
      <c r="N28" s="21">
        <f>MASTER!N52</f>
        <v/>
      </c>
      <c r="O28" s="23">
        <f>MASTER!O52</f>
        <v/>
      </c>
      <c r="P28" s="21">
        <f>MASTER!P52</f>
        <v/>
      </c>
      <c r="Q28" s="21">
        <f>MASTER!Q52</f>
        <v/>
      </c>
    </row>
    <row r="29" ht="23.85" customHeight="1" s="14">
      <c r="A29" s="20">
        <f>MASTER!A53</f>
        <v/>
      </c>
      <c r="B29" s="21">
        <f>MASTER!B53</f>
        <v/>
      </c>
      <c r="C29" s="20">
        <f>MASTER!C53</f>
        <v/>
      </c>
      <c r="D29" s="21">
        <f>MASTER!D53</f>
        <v/>
      </c>
      <c r="E29" s="21">
        <f>MASTER!E53</f>
        <v/>
      </c>
      <c r="F29" s="21">
        <f>MASTER!F53</f>
        <v/>
      </c>
      <c r="G29" s="20">
        <f>MASTER!G53</f>
        <v/>
      </c>
      <c r="H29" s="20">
        <f>MASTER!H53</f>
        <v/>
      </c>
      <c r="I29" s="20">
        <f>MASTER!I53</f>
        <v/>
      </c>
      <c r="J29" s="20">
        <f>MASTER!J53</f>
        <v/>
      </c>
      <c r="K29" s="20">
        <f>MASTER!K53</f>
        <v/>
      </c>
      <c r="L29" s="21">
        <f>MASTER!L53</f>
        <v/>
      </c>
      <c r="M29" s="21">
        <f>MASTER!M53</f>
        <v/>
      </c>
      <c r="N29" s="21">
        <f>MASTER!N53</f>
        <v/>
      </c>
      <c r="O29" s="23">
        <f>MASTER!O53</f>
        <v/>
      </c>
      <c r="P29" s="21">
        <f>MASTER!P53</f>
        <v/>
      </c>
      <c r="Q29" s="21">
        <f>MASTER!Q53</f>
        <v/>
      </c>
    </row>
    <row r="30" ht="15" customHeight="1" s="14">
      <c r="A30" s="20">
        <f>MASTER!A54</f>
        <v/>
      </c>
      <c r="B30" s="21">
        <f>MASTER!B54</f>
        <v/>
      </c>
      <c r="C30" s="20">
        <f>MASTER!C54</f>
        <v/>
      </c>
      <c r="D30" s="21">
        <f>MASTER!D54</f>
        <v/>
      </c>
      <c r="E30" s="21">
        <f>MASTER!E54</f>
        <v/>
      </c>
      <c r="F30" s="21">
        <f>MASTER!F54</f>
        <v/>
      </c>
      <c r="G30" s="20">
        <f>MASTER!G54</f>
        <v/>
      </c>
      <c r="H30" s="20">
        <f>MASTER!H54</f>
        <v/>
      </c>
      <c r="I30" s="20">
        <f>MASTER!I54</f>
        <v/>
      </c>
      <c r="J30" s="20">
        <f>MASTER!J54</f>
        <v/>
      </c>
      <c r="K30" s="20">
        <f>MASTER!K54</f>
        <v/>
      </c>
      <c r="L30" s="21">
        <f>MASTER!L54</f>
        <v/>
      </c>
      <c r="M30" s="21">
        <f>MASTER!M54</f>
        <v/>
      </c>
      <c r="N30" s="21">
        <f>MASTER!N54</f>
        <v/>
      </c>
      <c r="O30" s="23">
        <f>MASTER!O54</f>
        <v/>
      </c>
      <c r="P30" s="21">
        <f>MASTER!P54</f>
        <v/>
      </c>
      <c r="Q30" s="21">
        <f>MASTER!Q54</f>
        <v/>
      </c>
    </row>
    <row r="31" ht="46.25" customHeight="1" s="14">
      <c r="A31" s="20">
        <f>MASTER!A55</f>
        <v/>
      </c>
      <c r="B31" s="21">
        <f>MASTER!B55</f>
        <v/>
      </c>
      <c r="C31" s="20">
        <f>MASTER!C55</f>
        <v/>
      </c>
      <c r="D31" s="21">
        <f>MASTER!D55</f>
        <v/>
      </c>
      <c r="E31" s="21">
        <f>MASTER!E55</f>
        <v/>
      </c>
      <c r="F31" s="21">
        <f>MASTER!F55</f>
        <v/>
      </c>
      <c r="G31" s="20">
        <f>MASTER!G55</f>
        <v/>
      </c>
      <c r="H31" s="20">
        <f>MASTER!H55</f>
        <v/>
      </c>
      <c r="I31" s="20">
        <f>MASTER!I55</f>
        <v/>
      </c>
      <c r="J31" s="20">
        <f>MASTER!J55</f>
        <v/>
      </c>
      <c r="K31" s="20">
        <f>MASTER!K55</f>
        <v/>
      </c>
      <c r="L31" s="21">
        <f>MASTER!L55</f>
        <v/>
      </c>
      <c r="M31" s="21">
        <f>MASTER!M55</f>
        <v/>
      </c>
      <c r="N31" s="21">
        <f>MASTER!N55</f>
        <v/>
      </c>
      <c r="O31" s="23">
        <f>MASTER!O55</f>
        <v/>
      </c>
      <c r="P31" s="21">
        <f>MASTER!P55</f>
        <v/>
      </c>
      <c r="Q31" s="21">
        <f>MASTER!Q55</f>
        <v/>
      </c>
    </row>
    <row r="32" ht="23.85" customHeight="1" s="14">
      <c r="A32" s="20">
        <f>MASTER!A56</f>
        <v/>
      </c>
      <c r="B32" s="21">
        <f>MASTER!B56</f>
        <v/>
      </c>
      <c r="C32" s="20">
        <f>MASTER!C56</f>
        <v/>
      </c>
      <c r="D32" s="21">
        <f>MASTER!D56</f>
        <v/>
      </c>
      <c r="E32" s="21">
        <f>MASTER!E56</f>
        <v/>
      </c>
      <c r="F32" s="21">
        <f>MASTER!F56</f>
        <v/>
      </c>
      <c r="G32" s="20">
        <f>MASTER!G56</f>
        <v/>
      </c>
      <c r="H32" s="20">
        <f>MASTER!H56</f>
        <v/>
      </c>
      <c r="I32" s="20">
        <f>MASTER!I56</f>
        <v/>
      </c>
      <c r="J32" s="20">
        <f>MASTER!J56</f>
        <v/>
      </c>
      <c r="K32" s="20">
        <f>MASTER!K56</f>
        <v/>
      </c>
      <c r="L32" s="21">
        <f>MASTER!L56</f>
        <v/>
      </c>
      <c r="M32" s="21">
        <f>MASTER!M56</f>
        <v/>
      </c>
      <c r="N32" s="21">
        <f>MASTER!N56</f>
        <v/>
      </c>
      <c r="O32" s="23">
        <f>MASTER!O56</f>
        <v/>
      </c>
      <c r="P32" s="21">
        <f>MASTER!P56</f>
        <v/>
      </c>
      <c r="Q32" s="21">
        <f>MASTER!Q56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30" customWidth="1" style="13" min="2" max="2"/>
    <col width="7" customWidth="1" style="13" min="3" max="3"/>
    <col width="32" customWidth="1" style="13" min="4" max="4"/>
    <col width="34" customWidth="1" style="13" min="5" max="5"/>
    <col width="42" customWidth="1" style="13" min="6" max="6"/>
    <col width="9" customWidth="1" style="13" min="7" max="10"/>
    <col width="13" customWidth="1" style="13" min="11" max="11"/>
    <col width="52" customWidth="1" style="13" min="12" max="12"/>
    <col width="26" customWidth="1" style="13" min="13" max="13"/>
    <col width="40" customWidth="1" style="13" min="14" max="14"/>
    <col width="11" customWidth="1" style="13" min="15" max="15"/>
    <col width="34" customWidth="1" style="13" min="16" max="16"/>
    <col width="44" customWidth="1" style="13" min="17" max="17"/>
  </cols>
  <sheetData>
    <row r="1" ht="15" customHeight="1" s="14">
      <c r="A1" s="24" t="inlineStr">
        <is>
          <t>Quarter 3 — Cycles 11–15 (genetics; mostly print-and-laminate) — view only; edit MASTER, this sheet follows.</t>
        </is>
      </c>
    </row>
    <row r="2" ht="30" customHeight="1" s="14">
      <c r="A2" s="19" t="inlineStr">
        <is>
          <t>Quarter (bundle)</t>
        </is>
      </c>
      <c r="B2" s="19" t="inlineStr">
        <is>
          <t>Unit</t>
        </is>
      </c>
      <c r="C2" s="19" t="inlineStr">
        <is>
          <t>Cycle</t>
        </is>
      </c>
      <c r="D2" s="19" t="inlineStr">
        <is>
          <t>Lesson / deck</t>
        </is>
      </c>
      <c r="E2" s="19" t="inlineStr">
        <is>
          <t>Activity</t>
        </is>
      </c>
      <c r="F2" s="19" t="inlineStr">
        <is>
          <t>Supply</t>
        </is>
      </c>
      <c r="G2" s="19" t="inlineStr">
        <is>
          <t>Qty per group</t>
        </is>
      </c>
      <c r="H2" s="19" t="inlineStr">
        <is>
          <t>Groups per class</t>
        </is>
      </c>
      <c r="I2" s="19" t="inlineStr">
        <is>
          <t>Number of classes</t>
        </is>
      </c>
      <c r="J2" s="19" t="inlineStr">
        <is>
          <t>Total needed</t>
        </is>
      </c>
      <c r="K2" s="19" t="inlineStr">
        <is>
          <t>Reusable / Consumable</t>
        </is>
      </c>
      <c r="L2" s="19" t="inlineStr">
        <is>
          <t>Preparation</t>
        </is>
      </c>
      <c r="M2" s="19" t="inlineStr">
        <is>
          <t>Storage</t>
        </is>
      </c>
      <c r="N2" s="19" t="inlineStr">
        <is>
          <t>Safety</t>
        </is>
      </c>
      <c r="O2" s="19" t="inlineStr">
        <is>
          <t>Approx cost (USD)</t>
        </is>
      </c>
      <c r="P2" s="19" t="inlineStr">
        <is>
          <t>Substitute</t>
        </is>
      </c>
      <c r="Q2" s="19" t="inlineStr">
        <is>
          <t>Store / purchasing link</t>
        </is>
      </c>
    </row>
    <row r="3" ht="15" customHeight="1" s="14">
      <c r="A3" s="20">
        <f>MASTER!A57</f>
        <v/>
      </c>
      <c r="B3" s="21">
        <f>MASTER!B57</f>
        <v/>
      </c>
      <c r="C3" s="20">
        <f>MASTER!C57</f>
        <v/>
      </c>
      <c r="D3" s="21">
        <f>MASTER!D57</f>
        <v/>
      </c>
      <c r="E3" s="21">
        <f>MASTER!E57</f>
        <v/>
      </c>
      <c r="F3" s="21">
        <f>MASTER!F57</f>
        <v/>
      </c>
      <c r="G3" s="20">
        <f>MASTER!G57</f>
        <v/>
      </c>
      <c r="H3" s="20">
        <f>MASTER!H57</f>
        <v/>
      </c>
      <c r="I3" s="20">
        <f>MASTER!I57</f>
        <v/>
      </c>
      <c r="J3" s="20">
        <f>MASTER!J57</f>
        <v/>
      </c>
      <c r="K3" s="20">
        <f>MASTER!K57</f>
        <v/>
      </c>
      <c r="L3" s="21">
        <f>MASTER!L57</f>
        <v/>
      </c>
      <c r="M3" s="21">
        <f>MASTER!M57</f>
        <v/>
      </c>
      <c r="N3" s="21">
        <f>MASTER!N57</f>
        <v/>
      </c>
      <c r="O3" s="23">
        <f>MASTER!O57</f>
        <v/>
      </c>
      <c r="P3" s="21">
        <f>MASTER!P57</f>
        <v/>
      </c>
      <c r="Q3" s="21">
        <f>MASTER!Q57</f>
        <v/>
      </c>
    </row>
    <row r="4" ht="23.85" customHeight="1" s="14">
      <c r="A4" s="20">
        <f>MASTER!A58</f>
        <v/>
      </c>
      <c r="B4" s="21">
        <f>MASTER!B58</f>
        <v/>
      </c>
      <c r="C4" s="20">
        <f>MASTER!C58</f>
        <v/>
      </c>
      <c r="D4" s="21">
        <f>MASTER!D58</f>
        <v/>
      </c>
      <c r="E4" s="21">
        <f>MASTER!E58</f>
        <v/>
      </c>
      <c r="F4" s="21">
        <f>MASTER!F58</f>
        <v/>
      </c>
      <c r="G4" s="20">
        <f>MASTER!G58</f>
        <v/>
      </c>
      <c r="H4" s="20">
        <f>MASTER!H58</f>
        <v/>
      </c>
      <c r="I4" s="20">
        <f>MASTER!I58</f>
        <v/>
      </c>
      <c r="J4" s="20">
        <f>MASTER!J58</f>
        <v/>
      </c>
      <c r="K4" s="20">
        <f>MASTER!K58</f>
        <v/>
      </c>
      <c r="L4" s="21">
        <f>MASTER!L58</f>
        <v/>
      </c>
      <c r="M4" s="21">
        <f>MASTER!M58</f>
        <v/>
      </c>
      <c r="N4" s="21">
        <f>MASTER!N58</f>
        <v/>
      </c>
      <c r="O4" s="23">
        <f>MASTER!O58</f>
        <v/>
      </c>
      <c r="P4" s="21">
        <f>MASTER!P58</f>
        <v/>
      </c>
      <c r="Q4" s="21">
        <f>MASTER!Q58</f>
        <v/>
      </c>
    </row>
    <row r="5" ht="35.05" customHeight="1" s="14">
      <c r="A5" s="20">
        <f>MASTER!A59</f>
        <v/>
      </c>
      <c r="B5" s="21">
        <f>MASTER!B59</f>
        <v/>
      </c>
      <c r="C5" s="20">
        <f>MASTER!C59</f>
        <v/>
      </c>
      <c r="D5" s="21">
        <f>MASTER!D59</f>
        <v/>
      </c>
      <c r="E5" s="21">
        <f>MASTER!E59</f>
        <v/>
      </c>
      <c r="F5" s="21">
        <f>MASTER!F59</f>
        <v/>
      </c>
      <c r="G5" s="20">
        <f>MASTER!G59</f>
        <v/>
      </c>
      <c r="H5" s="20">
        <f>MASTER!H59</f>
        <v/>
      </c>
      <c r="I5" s="20">
        <f>MASTER!I59</f>
        <v/>
      </c>
      <c r="J5" s="20">
        <f>MASTER!J59</f>
        <v/>
      </c>
      <c r="K5" s="20">
        <f>MASTER!K59</f>
        <v/>
      </c>
      <c r="L5" s="21">
        <f>MASTER!L59</f>
        <v/>
      </c>
      <c r="M5" s="21">
        <f>MASTER!M59</f>
        <v/>
      </c>
      <c r="N5" s="21">
        <f>MASTER!N59</f>
        <v/>
      </c>
      <c r="O5" s="23">
        <f>MASTER!O59</f>
        <v/>
      </c>
      <c r="P5" s="21">
        <f>MASTER!P59</f>
        <v/>
      </c>
      <c r="Q5" s="21">
        <f>MASTER!Q59</f>
        <v/>
      </c>
    </row>
    <row r="6" ht="35.05" customHeight="1" s="14">
      <c r="A6" s="20">
        <f>MASTER!A60</f>
        <v/>
      </c>
      <c r="B6" s="21">
        <f>MASTER!B60</f>
        <v/>
      </c>
      <c r="C6" s="20">
        <f>MASTER!C60</f>
        <v/>
      </c>
      <c r="D6" s="21">
        <f>MASTER!D60</f>
        <v/>
      </c>
      <c r="E6" s="21">
        <f>MASTER!E60</f>
        <v/>
      </c>
      <c r="F6" s="21">
        <f>MASTER!F60</f>
        <v/>
      </c>
      <c r="G6" s="20">
        <f>MASTER!G60</f>
        <v/>
      </c>
      <c r="H6" s="20">
        <f>MASTER!H60</f>
        <v/>
      </c>
      <c r="I6" s="20">
        <f>MASTER!I60</f>
        <v/>
      </c>
      <c r="J6" s="20">
        <f>MASTER!J60</f>
        <v/>
      </c>
      <c r="K6" s="20">
        <f>MASTER!K60</f>
        <v/>
      </c>
      <c r="L6" s="21">
        <f>MASTER!L60</f>
        <v/>
      </c>
      <c r="M6" s="21">
        <f>MASTER!M60</f>
        <v/>
      </c>
      <c r="N6" s="21">
        <f>MASTER!N60</f>
        <v/>
      </c>
      <c r="O6" s="23">
        <f>MASTER!O60</f>
        <v/>
      </c>
      <c r="P6" s="21">
        <f>MASTER!P60</f>
        <v/>
      </c>
      <c r="Q6" s="21">
        <f>MASTER!Q60</f>
        <v/>
      </c>
    </row>
    <row r="7" ht="35.05" customHeight="1" s="14">
      <c r="A7" s="20">
        <f>MASTER!A61</f>
        <v/>
      </c>
      <c r="B7" s="21">
        <f>MASTER!B61</f>
        <v/>
      </c>
      <c r="C7" s="20">
        <f>MASTER!C61</f>
        <v/>
      </c>
      <c r="D7" s="21">
        <f>MASTER!D61</f>
        <v/>
      </c>
      <c r="E7" s="21">
        <f>MASTER!E61</f>
        <v/>
      </c>
      <c r="F7" s="21">
        <f>MASTER!F61</f>
        <v/>
      </c>
      <c r="G7" s="20">
        <f>MASTER!G61</f>
        <v/>
      </c>
      <c r="H7" s="20">
        <f>MASTER!H61</f>
        <v/>
      </c>
      <c r="I7" s="20">
        <f>MASTER!I61</f>
        <v/>
      </c>
      <c r="J7" s="20">
        <f>MASTER!J61</f>
        <v/>
      </c>
      <c r="K7" s="20">
        <f>MASTER!K61</f>
        <v/>
      </c>
      <c r="L7" s="21">
        <f>MASTER!L61</f>
        <v/>
      </c>
      <c r="M7" s="21">
        <f>MASTER!M61</f>
        <v/>
      </c>
      <c r="N7" s="21">
        <f>MASTER!N61</f>
        <v/>
      </c>
      <c r="O7" s="23">
        <f>MASTER!O61</f>
        <v/>
      </c>
      <c r="P7" s="21">
        <f>MASTER!P61</f>
        <v/>
      </c>
      <c r="Q7" s="21">
        <f>MASTER!Q61</f>
        <v/>
      </c>
    </row>
    <row r="8" ht="35.05" customHeight="1" s="14">
      <c r="A8" s="20">
        <f>MASTER!A62</f>
        <v/>
      </c>
      <c r="B8" s="21">
        <f>MASTER!B62</f>
        <v/>
      </c>
      <c r="C8" s="20">
        <f>MASTER!C62</f>
        <v/>
      </c>
      <c r="D8" s="21">
        <f>MASTER!D62</f>
        <v/>
      </c>
      <c r="E8" s="21">
        <f>MASTER!E62</f>
        <v/>
      </c>
      <c r="F8" s="21">
        <f>MASTER!F62</f>
        <v/>
      </c>
      <c r="G8" s="20">
        <f>MASTER!G62</f>
        <v/>
      </c>
      <c r="H8" s="20">
        <f>MASTER!H62</f>
        <v/>
      </c>
      <c r="I8" s="20">
        <f>MASTER!I62</f>
        <v/>
      </c>
      <c r="J8" s="20">
        <f>MASTER!J62</f>
        <v/>
      </c>
      <c r="K8" s="20">
        <f>MASTER!K62</f>
        <v/>
      </c>
      <c r="L8" s="21">
        <f>MASTER!L62</f>
        <v/>
      </c>
      <c r="M8" s="21">
        <f>MASTER!M62</f>
        <v/>
      </c>
      <c r="N8" s="21">
        <f>MASTER!N62</f>
        <v/>
      </c>
      <c r="O8" s="23">
        <f>MASTER!O62</f>
        <v/>
      </c>
      <c r="P8" s="21">
        <f>MASTER!P62</f>
        <v/>
      </c>
      <c r="Q8" s="21">
        <f>MASTER!Q62</f>
        <v/>
      </c>
    </row>
    <row r="9" ht="35.05" customHeight="1" s="14">
      <c r="A9" s="20">
        <f>MASTER!A63</f>
        <v/>
      </c>
      <c r="B9" s="21">
        <f>MASTER!B63</f>
        <v/>
      </c>
      <c r="C9" s="20">
        <f>MASTER!C63</f>
        <v/>
      </c>
      <c r="D9" s="21">
        <f>MASTER!D63</f>
        <v/>
      </c>
      <c r="E9" s="21">
        <f>MASTER!E63</f>
        <v/>
      </c>
      <c r="F9" s="21">
        <f>MASTER!F63</f>
        <v/>
      </c>
      <c r="G9" s="20">
        <f>MASTER!G63</f>
        <v/>
      </c>
      <c r="H9" s="20">
        <f>MASTER!H63</f>
        <v/>
      </c>
      <c r="I9" s="20">
        <f>MASTER!I63</f>
        <v/>
      </c>
      <c r="J9" s="20">
        <f>MASTER!J63</f>
        <v/>
      </c>
      <c r="K9" s="20">
        <f>MASTER!K63</f>
        <v/>
      </c>
      <c r="L9" s="21">
        <f>MASTER!L63</f>
        <v/>
      </c>
      <c r="M9" s="21">
        <f>MASTER!M63</f>
        <v/>
      </c>
      <c r="N9" s="21">
        <f>MASTER!N63</f>
        <v/>
      </c>
      <c r="O9" s="23">
        <f>MASTER!O63</f>
        <v/>
      </c>
      <c r="P9" s="21">
        <f>MASTER!P63</f>
        <v/>
      </c>
      <c r="Q9" s="21">
        <f>MASTER!Q63</f>
        <v/>
      </c>
    </row>
    <row r="10" ht="23.85" customHeight="1" s="14">
      <c r="A10" s="20">
        <f>MASTER!A64</f>
        <v/>
      </c>
      <c r="B10" s="21">
        <f>MASTER!B64</f>
        <v/>
      </c>
      <c r="C10" s="20">
        <f>MASTER!C64</f>
        <v/>
      </c>
      <c r="D10" s="21">
        <f>MASTER!D64</f>
        <v/>
      </c>
      <c r="E10" s="21">
        <f>MASTER!E64</f>
        <v/>
      </c>
      <c r="F10" s="21">
        <f>MASTER!F64</f>
        <v/>
      </c>
      <c r="G10" s="20">
        <f>MASTER!G64</f>
        <v/>
      </c>
      <c r="H10" s="20">
        <f>MASTER!H64</f>
        <v/>
      </c>
      <c r="I10" s="20">
        <f>MASTER!I64</f>
        <v/>
      </c>
      <c r="J10" s="20">
        <f>MASTER!J64</f>
        <v/>
      </c>
      <c r="K10" s="20">
        <f>MASTER!K64</f>
        <v/>
      </c>
      <c r="L10" s="21">
        <f>MASTER!L64</f>
        <v/>
      </c>
      <c r="M10" s="21">
        <f>MASTER!M64</f>
        <v/>
      </c>
      <c r="N10" s="21">
        <f>MASTER!N64</f>
        <v/>
      </c>
      <c r="O10" s="23">
        <f>MASTER!O64</f>
        <v/>
      </c>
      <c r="P10" s="21">
        <f>MASTER!P64</f>
        <v/>
      </c>
      <c r="Q10" s="21">
        <f>MASTER!Q64</f>
        <v/>
      </c>
    </row>
    <row r="11" ht="23.85" customHeight="1" s="14">
      <c r="A11" s="20">
        <f>MASTER!A65</f>
        <v/>
      </c>
      <c r="B11" s="21">
        <f>MASTER!B65</f>
        <v/>
      </c>
      <c r="C11" s="20">
        <f>MASTER!C65</f>
        <v/>
      </c>
      <c r="D11" s="21">
        <f>MASTER!D65</f>
        <v/>
      </c>
      <c r="E11" s="21">
        <f>MASTER!E65</f>
        <v/>
      </c>
      <c r="F11" s="21">
        <f>MASTER!F65</f>
        <v/>
      </c>
      <c r="G11" s="20">
        <f>MASTER!G65</f>
        <v/>
      </c>
      <c r="H11" s="20">
        <f>MASTER!H65</f>
        <v/>
      </c>
      <c r="I11" s="20">
        <f>MASTER!I65</f>
        <v/>
      </c>
      <c r="J11" s="20">
        <f>MASTER!J65</f>
        <v/>
      </c>
      <c r="K11" s="20">
        <f>MASTER!K65</f>
        <v/>
      </c>
      <c r="L11" s="21">
        <f>MASTER!L65</f>
        <v/>
      </c>
      <c r="M11" s="21">
        <f>MASTER!M65</f>
        <v/>
      </c>
      <c r="N11" s="21">
        <f>MASTER!N65</f>
        <v/>
      </c>
      <c r="O11" s="23">
        <f>MASTER!O65</f>
        <v/>
      </c>
      <c r="P11" s="21">
        <f>MASTER!P65</f>
        <v/>
      </c>
      <c r="Q11" s="21">
        <f>MASTER!Q65</f>
        <v/>
      </c>
    </row>
    <row r="12" ht="23.85" customHeight="1" s="14">
      <c r="A12" s="20">
        <f>MASTER!A66</f>
        <v/>
      </c>
      <c r="B12" s="21">
        <f>MASTER!B66</f>
        <v/>
      </c>
      <c r="C12" s="20">
        <f>MASTER!C66</f>
        <v/>
      </c>
      <c r="D12" s="21">
        <f>MASTER!D66</f>
        <v/>
      </c>
      <c r="E12" s="21">
        <f>MASTER!E66</f>
        <v/>
      </c>
      <c r="F12" s="21">
        <f>MASTER!F66</f>
        <v/>
      </c>
      <c r="G12" s="20">
        <f>MASTER!G66</f>
        <v/>
      </c>
      <c r="H12" s="20">
        <f>MASTER!H66</f>
        <v/>
      </c>
      <c r="I12" s="20">
        <f>MASTER!I66</f>
        <v/>
      </c>
      <c r="J12" s="20">
        <f>MASTER!J66</f>
        <v/>
      </c>
      <c r="K12" s="20">
        <f>MASTER!K66</f>
        <v/>
      </c>
      <c r="L12" s="21">
        <f>MASTER!L66</f>
        <v/>
      </c>
      <c r="M12" s="21">
        <f>MASTER!M66</f>
        <v/>
      </c>
      <c r="N12" s="21">
        <f>MASTER!N66</f>
        <v/>
      </c>
      <c r="O12" s="23">
        <f>MASTER!O66</f>
        <v/>
      </c>
      <c r="P12" s="21">
        <f>MASTER!P66</f>
        <v/>
      </c>
      <c r="Q12" s="21">
        <f>MASTER!Q66</f>
        <v/>
      </c>
    </row>
    <row r="13" ht="23.85" customHeight="1" s="14">
      <c r="A13" s="20">
        <f>MASTER!A67</f>
        <v/>
      </c>
      <c r="B13" s="21">
        <f>MASTER!B67</f>
        <v/>
      </c>
      <c r="C13" s="20">
        <f>MASTER!C67</f>
        <v/>
      </c>
      <c r="D13" s="21">
        <f>MASTER!D67</f>
        <v/>
      </c>
      <c r="E13" s="21">
        <f>MASTER!E67</f>
        <v/>
      </c>
      <c r="F13" s="21">
        <f>MASTER!F67</f>
        <v/>
      </c>
      <c r="G13" s="20">
        <f>MASTER!G67</f>
        <v/>
      </c>
      <c r="H13" s="20">
        <f>MASTER!H67</f>
        <v/>
      </c>
      <c r="I13" s="20">
        <f>MASTER!I67</f>
        <v/>
      </c>
      <c r="J13" s="20">
        <f>MASTER!J67</f>
        <v/>
      </c>
      <c r="K13" s="20">
        <f>MASTER!K67</f>
        <v/>
      </c>
      <c r="L13" s="21">
        <f>MASTER!L67</f>
        <v/>
      </c>
      <c r="M13" s="21">
        <f>MASTER!M67</f>
        <v/>
      </c>
      <c r="N13" s="21">
        <f>MASTER!N67</f>
        <v/>
      </c>
      <c r="O13" s="23">
        <f>MASTER!O67</f>
        <v/>
      </c>
      <c r="P13" s="21">
        <f>MASTER!P67</f>
        <v/>
      </c>
      <c r="Q13" s="21">
        <f>MASTER!Q67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30" customWidth="1" style="13" min="2" max="2"/>
    <col width="7" customWidth="1" style="13" min="3" max="3"/>
    <col width="32" customWidth="1" style="13" min="4" max="4"/>
    <col width="34" customWidth="1" style="13" min="5" max="5"/>
    <col width="42" customWidth="1" style="13" min="6" max="6"/>
    <col width="9" customWidth="1" style="13" min="7" max="10"/>
    <col width="13" customWidth="1" style="13" min="11" max="11"/>
    <col width="52" customWidth="1" style="13" min="12" max="12"/>
    <col width="26" customWidth="1" style="13" min="13" max="13"/>
    <col width="40" customWidth="1" style="13" min="14" max="14"/>
    <col width="11" customWidth="1" style="13" min="15" max="15"/>
    <col width="34" customWidth="1" style="13" min="16" max="16"/>
    <col width="44" customWidth="1" style="13" min="17" max="17"/>
  </cols>
  <sheetData>
    <row r="1" ht="15" customHeight="1" s="14">
      <c r="A1" s="24" t="inlineStr">
        <is>
          <t>Quarter 4 — Cycles 16–20 (mutations and evolution, then the paper-only capstone) — view only; edit MASTER, this sheet follows.</t>
        </is>
      </c>
    </row>
    <row r="2" ht="30" customHeight="1" s="14">
      <c r="A2" s="19" t="inlineStr">
        <is>
          <t>Quarter (bundle)</t>
        </is>
      </c>
      <c r="B2" s="19" t="inlineStr">
        <is>
          <t>Unit</t>
        </is>
      </c>
      <c r="C2" s="19" t="inlineStr">
        <is>
          <t>Cycle</t>
        </is>
      </c>
      <c r="D2" s="19" t="inlineStr">
        <is>
          <t>Lesson / deck</t>
        </is>
      </c>
      <c r="E2" s="19" t="inlineStr">
        <is>
          <t>Activity</t>
        </is>
      </c>
      <c r="F2" s="19" t="inlineStr">
        <is>
          <t>Supply</t>
        </is>
      </c>
      <c r="G2" s="19" t="inlineStr">
        <is>
          <t>Qty per group</t>
        </is>
      </c>
      <c r="H2" s="19" t="inlineStr">
        <is>
          <t>Groups per class</t>
        </is>
      </c>
      <c r="I2" s="19" t="inlineStr">
        <is>
          <t>Number of classes</t>
        </is>
      </c>
      <c r="J2" s="19" t="inlineStr">
        <is>
          <t>Total needed</t>
        </is>
      </c>
      <c r="K2" s="19" t="inlineStr">
        <is>
          <t>Reusable / Consumable</t>
        </is>
      </c>
      <c r="L2" s="19" t="inlineStr">
        <is>
          <t>Preparation</t>
        </is>
      </c>
      <c r="M2" s="19" t="inlineStr">
        <is>
          <t>Storage</t>
        </is>
      </c>
      <c r="N2" s="19" t="inlineStr">
        <is>
          <t>Safety</t>
        </is>
      </c>
      <c r="O2" s="19" t="inlineStr">
        <is>
          <t>Approx cost (USD)</t>
        </is>
      </c>
      <c r="P2" s="19" t="inlineStr">
        <is>
          <t>Substitute</t>
        </is>
      </c>
      <c r="Q2" s="19" t="inlineStr">
        <is>
          <t>Store / purchasing link</t>
        </is>
      </c>
    </row>
    <row r="3" ht="35.05" customHeight="1" s="14">
      <c r="A3" s="20">
        <f>MASTER!A68</f>
        <v/>
      </c>
      <c r="B3" s="21">
        <f>MASTER!B68</f>
        <v/>
      </c>
      <c r="C3" s="20">
        <f>MASTER!C68</f>
        <v/>
      </c>
      <c r="D3" s="21">
        <f>MASTER!D68</f>
        <v/>
      </c>
      <c r="E3" s="21">
        <f>MASTER!E68</f>
        <v/>
      </c>
      <c r="F3" s="21">
        <f>MASTER!F68</f>
        <v/>
      </c>
      <c r="G3" s="20">
        <f>MASTER!G68</f>
        <v/>
      </c>
      <c r="H3" s="20">
        <f>MASTER!H68</f>
        <v/>
      </c>
      <c r="I3" s="20">
        <f>MASTER!I68</f>
        <v/>
      </c>
      <c r="J3" s="20">
        <f>MASTER!J68</f>
        <v/>
      </c>
      <c r="K3" s="20">
        <f>MASTER!K68</f>
        <v/>
      </c>
      <c r="L3" s="21">
        <f>MASTER!L68</f>
        <v/>
      </c>
      <c r="M3" s="21">
        <f>MASTER!M68</f>
        <v/>
      </c>
      <c r="N3" s="21">
        <f>MASTER!N68</f>
        <v/>
      </c>
      <c r="O3" s="23">
        <f>MASTER!O68</f>
        <v/>
      </c>
      <c r="P3" s="21">
        <f>MASTER!P68</f>
        <v/>
      </c>
      <c r="Q3" s="21">
        <f>MASTER!Q68</f>
        <v/>
      </c>
    </row>
    <row r="4" ht="35.05" customHeight="1" s="14">
      <c r="A4" s="20">
        <f>MASTER!A69</f>
        <v/>
      </c>
      <c r="B4" s="21">
        <f>MASTER!B69</f>
        <v/>
      </c>
      <c r="C4" s="20">
        <f>MASTER!C69</f>
        <v/>
      </c>
      <c r="D4" s="21">
        <f>MASTER!D69</f>
        <v/>
      </c>
      <c r="E4" s="21">
        <f>MASTER!E69</f>
        <v/>
      </c>
      <c r="F4" s="21">
        <f>MASTER!F69</f>
        <v/>
      </c>
      <c r="G4" s="20">
        <f>MASTER!G69</f>
        <v/>
      </c>
      <c r="H4" s="20">
        <f>MASTER!H69</f>
        <v/>
      </c>
      <c r="I4" s="20">
        <f>MASTER!I69</f>
        <v/>
      </c>
      <c r="J4" s="20">
        <f>MASTER!J69</f>
        <v/>
      </c>
      <c r="K4" s="20">
        <f>MASTER!K69</f>
        <v/>
      </c>
      <c r="L4" s="21">
        <f>MASTER!L69</f>
        <v/>
      </c>
      <c r="M4" s="21">
        <f>MASTER!M69</f>
        <v/>
      </c>
      <c r="N4" s="21">
        <f>MASTER!N69</f>
        <v/>
      </c>
      <c r="O4" s="23">
        <f>MASTER!O69</f>
        <v/>
      </c>
      <c r="P4" s="21">
        <f>MASTER!P69</f>
        <v/>
      </c>
      <c r="Q4" s="21">
        <f>MASTER!Q69</f>
        <v/>
      </c>
    </row>
    <row r="5" ht="35.05" customHeight="1" s="14">
      <c r="A5" s="20">
        <f>MASTER!A70</f>
        <v/>
      </c>
      <c r="B5" s="21">
        <f>MASTER!B70</f>
        <v/>
      </c>
      <c r="C5" s="20">
        <f>MASTER!C70</f>
        <v/>
      </c>
      <c r="D5" s="21">
        <f>MASTER!D70</f>
        <v/>
      </c>
      <c r="E5" s="21">
        <f>MASTER!E70</f>
        <v/>
      </c>
      <c r="F5" s="21">
        <f>MASTER!F70</f>
        <v/>
      </c>
      <c r="G5" s="20">
        <f>MASTER!G70</f>
        <v/>
      </c>
      <c r="H5" s="20">
        <f>MASTER!H70</f>
        <v/>
      </c>
      <c r="I5" s="20">
        <f>MASTER!I70</f>
        <v/>
      </c>
      <c r="J5" s="20">
        <f>MASTER!J70</f>
        <v/>
      </c>
      <c r="K5" s="20">
        <f>MASTER!K70</f>
        <v/>
      </c>
      <c r="L5" s="21">
        <f>MASTER!L70</f>
        <v/>
      </c>
      <c r="M5" s="21">
        <f>MASTER!M70</f>
        <v/>
      </c>
      <c r="N5" s="21">
        <f>MASTER!N70</f>
        <v/>
      </c>
      <c r="O5" s="23">
        <f>MASTER!O70</f>
        <v/>
      </c>
      <c r="P5" s="21">
        <f>MASTER!P70</f>
        <v/>
      </c>
      <c r="Q5" s="21">
        <f>MASTER!Q70</f>
        <v/>
      </c>
    </row>
    <row r="6" ht="23.85" customHeight="1" s="14">
      <c r="A6" s="20">
        <f>MASTER!A71</f>
        <v/>
      </c>
      <c r="B6" s="21">
        <f>MASTER!B71</f>
        <v/>
      </c>
      <c r="C6" s="20">
        <f>MASTER!C71</f>
        <v/>
      </c>
      <c r="D6" s="21">
        <f>MASTER!D71</f>
        <v/>
      </c>
      <c r="E6" s="21">
        <f>MASTER!E71</f>
        <v/>
      </c>
      <c r="F6" s="21">
        <f>MASTER!F71</f>
        <v/>
      </c>
      <c r="G6" s="20">
        <f>MASTER!G71</f>
        <v/>
      </c>
      <c r="H6" s="20">
        <f>MASTER!H71</f>
        <v/>
      </c>
      <c r="I6" s="20">
        <f>MASTER!I71</f>
        <v/>
      </c>
      <c r="J6" s="20">
        <f>MASTER!J71</f>
        <v/>
      </c>
      <c r="K6" s="20">
        <f>MASTER!K71</f>
        <v/>
      </c>
      <c r="L6" s="21">
        <f>MASTER!L71</f>
        <v/>
      </c>
      <c r="M6" s="21">
        <f>MASTER!M71</f>
        <v/>
      </c>
      <c r="N6" s="21">
        <f>MASTER!N71</f>
        <v/>
      </c>
      <c r="O6" s="23">
        <f>MASTER!O71</f>
        <v/>
      </c>
      <c r="P6" s="21">
        <f>MASTER!P71</f>
        <v/>
      </c>
      <c r="Q6" s="21">
        <f>MASTER!Q71</f>
        <v/>
      </c>
    </row>
    <row r="7" ht="23.85" customHeight="1" s="14">
      <c r="A7" s="20">
        <f>MASTER!A72</f>
        <v/>
      </c>
      <c r="B7" s="21">
        <f>MASTER!B72</f>
        <v/>
      </c>
      <c r="C7" s="20">
        <f>MASTER!C72</f>
        <v/>
      </c>
      <c r="D7" s="21">
        <f>MASTER!D72</f>
        <v/>
      </c>
      <c r="E7" s="21">
        <f>MASTER!E72</f>
        <v/>
      </c>
      <c r="F7" s="21">
        <f>MASTER!F72</f>
        <v/>
      </c>
      <c r="G7" s="20">
        <f>MASTER!G72</f>
        <v/>
      </c>
      <c r="H7" s="20">
        <f>MASTER!H72</f>
        <v/>
      </c>
      <c r="I7" s="20">
        <f>MASTER!I72</f>
        <v/>
      </c>
      <c r="J7" s="20">
        <f>MASTER!J72</f>
        <v/>
      </c>
      <c r="K7" s="20">
        <f>MASTER!K72</f>
        <v/>
      </c>
      <c r="L7" s="21">
        <f>MASTER!L72</f>
        <v/>
      </c>
      <c r="M7" s="21">
        <f>MASTER!M72</f>
        <v/>
      </c>
      <c r="N7" s="21">
        <f>MASTER!N72</f>
        <v/>
      </c>
      <c r="O7" s="23">
        <f>MASTER!O72</f>
        <v/>
      </c>
      <c r="P7" s="21">
        <f>MASTER!P72</f>
        <v/>
      </c>
      <c r="Q7" s="21">
        <f>MASTER!Q72</f>
        <v/>
      </c>
    </row>
    <row r="8" ht="23.85" customHeight="1" s="14">
      <c r="A8" s="20">
        <f>MASTER!A73</f>
        <v/>
      </c>
      <c r="B8" s="21">
        <f>MASTER!B73</f>
        <v/>
      </c>
      <c r="C8" s="20">
        <f>MASTER!C73</f>
        <v/>
      </c>
      <c r="D8" s="21">
        <f>MASTER!D73</f>
        <v/>
      </c>
      <c r="E8" s="21">
        <f>MASTER!E73</f>
        <v/>
      </c>
      <c r="F8" s="21">
        <f>MASTER!F73</f>
        <v/>
      </c>
      <c r="G8" s="20">
        <f>MASTER!G73</f>
        <v/>
      </c>
      <c r="H8" s="20">
        <f>MASTER!H73</f>
        <v/>
      </c>
      <c r="I8" s="20">
        <f>MASTER!I73</f>
        <v/>
      </c>
      <c r="J8" s="20">
        <f>MASTER!J73</f>
        <v/>
      </c>
      <c r="K8" s="20">
        <f>MASTER!K73</f>
        <v/>
      </c>
      <c r="L8" s="21">
        <f>MASTER!L73</f>
        <v/>
      </c>
      <c r="M8" s="21">
        <f>MASTER!M73</f>
        <v/>
      </c>
      <c r="N8" s="21">
        <f>MASTER!N73</f>
        <v/>
      </c>
      <c r="O8" s="23">
        <f>MASTER!O73</f>
        <v/>
      </c>
      <c r="P8" s="21">
        <f>MASTER!P73</f>
        <v/>
      </c>
      <c r="Q8" s="21">
        <f>MASTER!Q73</f>
        <v/>
      </c>
    </row>
    <row r="9" ht="23.85" customHeight="1" s="14">
      <c r="A9" s="20">
        <f>MASTER!A74</f>
        <v/>
      </c>
      <c r="B9" s="21">
        <f>MASTER!B74</f>
        <v/>
      </c>
      <c r="C9" s="20">
        <f>MASTER!C74</f>
        <v/>
      </c>
      <c r="D9" s="21">
        <f>MASTER!D74</f>
        <v/>
      </c>
      <c r="E9" s="21">
        <f>MASTER!E74</f>
        <v/>
      </c>
      <c r="F9" s="21">
        <f>MASTER!F74</f>
        <v/>
      </c>
      <c r="G9" s="20">
        <f>MASTER!G74</f>
        <v/>
      </c>
      <c r="H9" s="20">
        <f>MASTER!H74</f>
        <v/>
      </c>
      <c r="I9" s="20">
        <f>MASTER!I74</f>
        <v/>
      </c>
      <c r="J9" s="20">
        <f>MASTER!J74</f>
        <v/>
      </c>
      <c r="K9" s="20">
        <f>MASTER!K74</f>
        <v/>
      </c>
      <c r="L9" s="21">
        <f>MASTER!L74</f>
        <v/>
      </c>
      <c r="M9" s="21">
        <f>MASTER!M74</f>
        <v/>
      </c>
      <c r="N9" s="21">
        <f>MASTER!N74</f>
        <v/>
      </c>
      <c r="O9" s="23">
        <f>MASTER!O74</f>
        <v/>
      </c>
      <c r="P9" s="21">
        <f>MASTER!P74</f>
        <v/>
      </c>
      <c r="Q9" s="21">
        <f>MASTER!Q74</f>
        <v/>
      </c>
    </row>
    <row r="10" ht="23.85" customHeight="1" s="14">
      <c r="A10" s="20">
        <f>MASTER!A75</f>
        <v/>
      </c>
      <c r="B10" s="21">
        <f>MASTER!B75</f>
        <v/>
      </c>
      <c r="C10" s="20">
        <f>MASTER!C75</f>
        <v/>
      </c>
      <c r="D10" s="21">
        <f>MASTER!D75</f>
        <v/>
      </c>
      <c r="E10" s="21">
        <f>MASTER!E75</f>
        <v/>
      </c>
      <c r="F10" s="21">
        <f>MASTER!F75</f>
        <v/>
      </c>
      <c r="G10" s="20">
        <f>MASTER!G75</f>
        <v/>
      </c>
      <c r="H10" s="20">
        <f>MASTER!H75</f>
        <v/>
      </c>
      <c r="I10" s="20">
        <f>MASTER!I75</f>
        <v/>
      </c>
      <c r="J10" s="20">
        <f>MASTER!J75</f>
        <v/>
      </c>
      <c r="K10" s="20">
        <f>MASTER!K75</f>
        <v/>
      </c>
      <c r="L10" s="21">
        <f>MASTER!L75</f>
        <v/>
      </c>
      <c r="M10" s="21">
        <f>MASTER!M75</f>
        <v/>
      </c>
      <c r="N10" s="21">
        <f>MASTER!N75</f>
        <v/>
      </c>
      <c r="O10" s="23">
        <f>MASTER!O75</f>
        <v/>
      </c>
      <c r="P10" s="21">
        <f>MASTER!P75</f>
        <v/>
      </c>
      <c r="Q10" s="21">
        <f>MASTER!Q75</f>
        <v/>
      </c>
    </row>
    <row r="11" ht="23.85" customHeight="1" s="14">
      <c r="A11" s="20">
        <f>MASTER!A76</f>
        <v/>
      </c>
      <c r="B11" s="21">
        <f>MASTER!B76</f>
        <v/>
      </c>
      <c r="C11" s="20">
        <f>MASTER!C76</f>
        <v/>
      </c>
      <c r="D11" s="21">
        <f>MASTER!D76</f>
        <v/>
      </c>
      <c r="E11" s="21">
        <f>MASTER!E76</f>
        <v/>
      </c>
      <c r="F11" s="21">
        <f>MASTER!F76</f>
        <v/>
      </c>
      <c r="G11" s="20">
        <f>MASTER!G76</f>
        <v/>
      </c>
      <c r="H11" s="20">
        <f>MASTER!H76</f>
        <v/>
      </c>
      <c r="I11" s="20">
        <f>MASTER!I76</f>
        <v/>
      </c>
      <c r="J11" s="20">
        <f>MASTER!J76</f>
        <v/>
      </c>
      <c r="K11" s="20">
        <f>MASTER!K76</f>
        <v/>
      </c>
      <c r="L11" s="21">
        <f>MASTER!L76</f>
        <v/>
      </c>
      <c r="M11" s="21">
        <f>MASTER!M76</f>
        <v/>
      </c>
      <c r="N11" s="21">
        <f>MASTER!N76</f>
        <v/>
      </c>
      <c r="O11" s="23">
        <f>MASTER!O76</f>
        <v/>
      </c>
      <c r="P11" s="21">
        <f>MASTER!P76</f>
        <v/>
      </c>
      <c r="Q11" s="21">
        <f>MASTER!Q76</f>
        <v/>
      </c>
    </row>
    <row r="12" ht="23.85" customHeight="1" s="14">
      <c r="A12" s="20">
        <f>MASTER!A77</f>
        <v/>
      </c>
      <c r="B12" s="21">
        <f>MASTER!B77</f>
        <v/>
      </c>
      <c r="C12" s="20">
        <f>MASTER!C77</f>
        <v/>
      </c>
      <c r="D12" s="21">
        <f>MASTER!D77</f>
        <v/>
      </c>
      <c r="E12" s="21">
        <f>MASTER!E77</f>
        <v/>
      </c>
      <c r="F12" s="21">
        <f>MASTER!F77</f>
        <v/>
      </c>
      <c r="G12" s="20">
        <f>MASTER!G77</f>
        <v/>
      </c>
      <c r="H12" s="20">
        <f>MASTER!H77</f>
        <v/>
      </c>
      <c r="I12" s="20">
        <f>MASTER!I77</f>
        <v/>
      </c>
      <c r="J12" s="20">
        <f>MASTER!J77</f>
        <v/>
      </c>
      <c r="K12" s="20">
        <f>MASTER!K77</f>
        <v/>
      </c>
      <c r="L12" s="21">
        <f>MASTER!L77</f>
        <v/>
      </c>
      <c r="M12" s="21">
        <f>MASTER!M77</f>
        <v/>
      </c>
      <c r="N12" s="21">
        <f>MASTER!N77</f>
        <v/>
      </c>
      <c r="O12" s="23">
        <f>MASTER!O77</f>
        <v/>
      </c>
      <c r="P12" s="21">
        <f>MASTER!P77</f>
        <v/>
      </c>
      <c r="Q12" s="21">
        <f>MASTER!Q77</f>
        <v/>
      </c>
    </row>
    <row r="13" ht="15" customHeight="1" s="14">
      <c r="A13" s="20">
        <f>MASTER!A78</f>
        <v/>
      </c>
      <c r="B13" s="21">
        <f>MASTER!B78</f>
        <v/>
      </c>
      <c r="C13" s="20">
        <f>MASTER!C78</f>
        <v/>
      </c>
      <c r="D13" s="21">
        <f>MASTER!D78</f>
        <v/>
      </c>
      <c r="E13" s="21">
        <f>MASTER!E78</f>
        <v/>
      </c>
      <c r="F13" s="21">
        <f>MASTER!F78</f>
        <v/>
      </c>
      <c r="G13" s="20">
        <f>MASTER!G78</f>
        <v/>
      </c>
      <c r="H13" s="20">
        <f>MASTER!H78</f>
        <v/>
      </c>
      <c r="I13" s="20">
        <f>MASTER!I78</f>
        <v/>
      </c>
      <c r="J13" s="20">
        <f>MASTER!J78</f>
        <v/>
      </c>
      <c r="K13" s="20">
        <f>MASTER!K78</f>
        <v/>
      </c>
      <c r="L13" s="21">
        <f>MASTER!L78</f>
        <v/>
      </c>
      <c r="M13" s="21">
        <f>MASTER!M78</f>
        <v/>
      </c>
      <c r="N13" s="21">
        <f>MASTER!N78</f>
        <v/>
      </c>
      <c r="O13" s="23">
        <f>MASTER!O78</f>
        <v/>
      </c>
      <c r="P13" s="21">
        <f>MASTER!P78</f>
        <v/>
      </c>
      <c r="Q13" s="21">
        <f>MASTER!Q78</f>
        <v/>
      </c>
    </row>
    <row r="14" ht="23.85" customHeight="1" s="14">
      <c r="A14" s="20">
        <f>MASTER!A79</f>
        <v/>
      </c>
      <c r="B14" s="21">
        <f>MASTER!B79</f>
        <v/>
      </c>
      <c r="C14" s="20">
        <f>MASTER!C79</f>
        <v/>
      </c>
      <c r="D14" s="21">
        <f>MASTER!D79</f>
        <v/>
      </c>
      <c r="E14" s="21">
        <f>MASTER!E79</f>
        <v/>
      </c>
      <c r="F14" s="21">
        <f>MASTER!F79</f>
        <v/>
      </c>
      <c r="G14" s="20">
        <f>MASTER!G79</f>
        <v/>
      </c>
      <c r="H14" s="20">
        <f>MASTER!H79</f>
        <v/>
      </c>
      <c r="I14" s="20">
        <f>MASTER!I79</f>
        <v/>
      </c>
      <c r="J14" s="20">
        <f>MASTER!J79</f>
        <v/>
      </c>
      <c r="K14" s="20">
        <f>MASTER!K79</f>
        <v/>
      </c>
      <c r="L14" s="21">
        <f>MASTER!L79</f>
        <v/>
      </c>
      <c r="M14" s="21">
        <f>MASTER!M79</f>
        <v/>
      </c>
      <c r="N14" s="21">
        <f>MASTER!N79</f>
        <v/>
      </c>
      <c r="O14" s="23">
        <f>MASTER!O79</f>
        <v/>
      </c>
      <c r="P14" s="21">
        <f>MASTER!P79</f>
        <v/>
      </c>
      <c r="Q14" s="21">
        <f>MASTER!Q79</f>
        <v/>
      </c>
    </row>
    <row r="15" ht="23.85" customHeight="1" s="14">
      <c r="A15" s="20">
        <f>MASTER!A80</f>
        <v/>
      </c>
      <c r="B15" s="21">
        <f>MASTER!B80</f>
        <v/>
      </c>
      <c r="C15" s="20">
        <f>MASTER!C80</f>
        <v/>
      </c>
      <c r="D15" s="21">
        <f>MASTER!D80</f>
        <v/>
      </c>
      <c r="E15" s="21">
        <f>MASTER!E80</f>
        <v/>
      </c>
      <c r="F15" s="21">
        <f>MASTER!F80</f>
        <v/>
      </c>
      <c r="G15" s="20">
        <f>MASTER!G80</f>
        <v/>
      </c>
      <c r="H15" s="20">
        <f>MASTER!H80</f>
        <v/>
      </c>
      <c r="I15" s="20">
        <f>MASTER!I80</f>
        <v/>
      </c>
      <c r="J15" s="20">
        <f>MASTER!J80</f>
        <v/>
      </c>
      <c r="K15" s="20">
        <f>MASTER!K80</f>
        <v/>
      </c>
      <c r="L15" s="21">
        <f>MASTER!L80</f>
        <v/>
      </c>
      <c r="M15" s="21">
        <f>MASTER!M80</f>
        <v/>
      </c>
      <c r="N15" s="21">
        <f>MASTER!N80</f>
        <v/>
      </c>
      <c r="O15" s="23">
        <f>MASTER!O80</f>
        <v/>
      </c>
      <c r="P15" s="21">
        <f>MASTER!P80</f>
        <v/>
      </c>
      <c r="Q15" s="21">
        <f>MASTER!Q80</f>
        <v/>
      </c>
    </row>
    <row r="16" ht="23.85" customHeight="1" s="14">
      <c r="A16" s="20">
        <f>MASTER!A81</f>
        <v/>
      </c>
      <c r="B16" s="21">
        <f>MASTER!B81</f>
        <v/>
      </c>
      <c r="C16" s="20">
        <f>MASTER!C81</f>
        <v/>
      </c>
      <c r="D16" s="21">
        <f>MASTER!D81</f>
        <v/>
      </c>
      <c r="E16" s="21">
        <f>MASTER!E81</f>
        <v/>
      </c>
      <c r="F16" s="21">
        <f>MASTER!F81</f>
        <v/>
      </c>
      <c r="G16" s="20">
        <f>MASTER!G81</f>
        <v/>
      </c>
      <c r="H16" s="20">
        <f>MASTER!H81</f>
        <v/>
      </c>
      <c r="I16" s="20">
        <f>MASTER!I81</f>
        <v/>
      </c>
      <c r="J16" s="20">
        <f>MASTER!J81</f>
        <v/>
      </c>
      <c r="K16" s="20">
        <f>MASTER!K81</f>
        <v/>
      </c>
      <c r="L16" s="21">
        <f>MASTER!L81</f>
        <v/>
      </c>
      <c r="M16" s="21">
        <f>MASTER!M81</f>
        <v/>
      </c>
      <c r="N16" s="21">
        <f>MASTER!N81</f>
        <v/>
      </c>
      <c r="O16" s="23">
        <f>MASTER!O81</f>
        <v/>
      </c>
      <c r="P16" s="21">
        <f>MASTER!P81</f>
        <v/>
      </c>
      <c r="Q16" s="21">
        <f>MASTER!Q81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8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30" customWidth="1" style="13" min="2" max="2"/>
    <col width="7" customWidth="1" style="13" min="3" max="3"/>
    <col width="32" customWidth="1" style="13" min="4" max="4"/>
    <col width="34" customWidth="1" style="13" min="5" max="5"/>
    <col width="42" customWidth="1" style="13" min="6" max="6"/>
    <col width="9" customWidth="1" style="13" min="7" max="10"/>
    <col width="13" customWidth="1" style="13" min="11" max="11"/>
    <col width="52" customWidth="1" style="13" min="12" max="12"/>
    <col width="26" customWidth="1" style="13" min="13" max="13"/>
    <col width="40" customWidth="1" style="13" min="14" max="14"/>
    <col width="11" customWidth="1" style="13" min="15" max="15"/>
    <col width="34" customWidth="1" style="13" min="16" max="16"/>
    <col width="44" customWidth="1" style="13" min="17" max="17"/>
  </cols>
  <sheetData>
    <row r="1" ht="15" customHeight="1" s="14">
      <c r="A1" s="24" t="inlineStr">
        <is>
          <t>Full Year — every row of MASTER, live — view only; edit MASTER, this sheet follows.</t>
        </is>
      </c>
    </row>
    <row r="2" ht="30" customHeight="1" s="14">
      <c r="A2" s="19" t="inlineStr">
        <is>
          <t>Quarter (bundle)</t>
        </is>
      </c>
      <c r="B2" s="19" t="inlineStr">
        <is>
          <t>Unit</t>
        </is>
      </c>
      <c r="C2" s="19" t="inlineStr">
        <is>
          <t>Cycle</t>
        </is>
      </c>
      <c r="D2" s="19" t="inlineStr">
        <is>
          <t>Lesson / deck</t>
        </is>
      </c>
      <c r="E2" s="19" t="inlineStr">
        <is>
          <t>Activity</t>
        </is>
      </c>
      <c r="F2" s="19" t="inlineStr">
        <is>
          <t>Supply</t>
        </is>
      </c>
      <c r="G2" s="19" t="inlineStr">
        <is>
          <t>Qty per group</t>
        </is>
      </c>
      <c r="H2" s="19" t="inlineStr">
        <is>
          <t>Groups per class</t>
        </is>
      </c>
      <c r="I2" s="19" t="inlineStr">
        <is>
          <t>Number of classes</t>
        </is>
      </c>
      <c r="J2" s="19" t="inlineStr">
        <is>
          <t>Total needed</t>
        </is>
      </c>
      <c r="K2" s="19" t="inlineStr">
        <is>
          <t>Reusable / Consumable</t>
        </is>
      </c>
      <c r="L2" s="19" t="inlineStr">
        <is>
          <t>Preparation</t>
        </is>
      </c>
      <c r="M2" s="19" t="inlineStr">
        <is>
          <t>Storage</t>
        </is>
      </c>
      <c r="N2" s="19" t="inlineStr">
        <is>
          <t>Safety</t>
        </is>
      </c>
      <c r="O2" s="19" t="inlineStr">
        <is>
          <t>Approx cost (USD)</t>
        </is>
      </c>
      <c r="P2" s="19" t="inlineStr">
        <is>
          <t>Substitute</t>
        </is>
      </c>
      <c r="Q2" s="19" t="inlineStr">
        <is>
          <t>Store / purchasing link</t>
        </is>
      </c>
    </row>
    <row r="3" ht="23.85" customHeight="1" s="14">
      <c r="A3" s="20">
        <f>MASTER!A2</f>
        <v/>
      </c>
      <c r="B3" s="21">
        <f>MASTER!B2</f>
        <v/>
      </c>
      <c r="C3" s="20">
        <f>MASTER!C2</f>
        <v/>
      </c>
      <c r="D3" s="21">
        <f>MASTER!D2</f>
        <v/>
      </c>
      <c r="E3" s="21">
        <f>MASTER!E2</f>
        <v/>
      </c>
      <c r="F3" s="21">
        <f>MASTER!F2</f>
        <v/>
      </c>
      <c r="G3" s="20">
        <f>MASTER!G2</f>
        <v/>
      </c>
      <c r="H3" s="20">
        <f>MASTER!H2</f>
        <v/>
      </c>
      <c r="I3" s="20">
        <f>MASTER!I2</f>
        <v/>
      </c>
      <c r="J3" s="20">
        <f>MASTER!J2</f>
        <v/>
      </c>
      <c r="K3" s="20">
        <f>MASTER!K2</f>
        <v/>
      </c>
      <c r="L3" s="21">
        <f>MASTER!L2</f>
        <v/>
      </c>
      <c r="M3" s="21">
        <f>MASTER!M2</f>
        <v/>
      </c>
      <c r="N3" s="21">
        <f>MASTER!N2</f>
        <v/>
      </c>
      <c r="O3" s="23">
        <f>MASTER!O2</f>
        <v/>
      </c>
      <c r="P3" s="21">
        <f>MASTER!P2</f>
        <v/>
      </c>
      <c r="Q3" s="21">
        <f>MASTER!Q2</f>
        <v/>
      </c>
    </row>
    <row r="4" ht="23.85" customHeight="1" s="14">
      <c r="A4" s="20">
        <f>MASTER!A3</f>
        <v/>
      </c>
      <c r="B4" s="21">
        <f>MASTER!B3</f>
        <v/>
      </c>
      <c r="C4" s="20">
        <f>MASTER!C3</f>
        <v/>
      </c>
      <c r="D4" s="21">
        <f>MASTER!D3</f>
        <v/>
      </c>
      <c r="E4" s="21">
        <f>MASTER!E3</f>
        <v/>
      </c>
      <c r="F4" s="21">
        <f>MASTER!F3</f>
        <v/>
      </c>
      <c r="G4" s="20">
        <f>MASTER!G3</f>
        <v/>
      </c>
      <c r="H4" s="20">
        <f>MASTER!H3</f>
        <v/>
      </c>
      <c r="I4" s="20">
        <f>MASTER!I3</f>
        <v/>
      </c>
      <c r="J4" s="20">
        <f>MASTER!J3</f>
        <v/>
      </c>
      <c r="K4" s="20">
        <f>MASTER!K3</f>
        <v/>
      </c>
      <c r="L4" s="21">
        <f>MASTER!L3</f>
        <v/>
      </c>
      <c r="M4" s="21">
        <f>MASTER!M3</f>
        <v/>
      </c>
      <c r="N4" s="21">
        <f>MASTER!N3</f>
        <v/>
      </c>
      <c r="O4" s="23">
        <f>MASTER!O3</f>
        <v/>
      </c>
      <c r="P4" s="21">
        <f>MASTER!P3</f>
        <v/>
      </c>
      <c r="Q4" s="21">
        <f>MASTER!Q3</f>
        <v/>
      </c>
    </row>
    <row r="5" ht="35.05" customHeight="1" s="14">
      <c r="A5" s="20">
        <f>MASTER!A4</f>
        <v/>
      </c>
      <c r="B5" s="21">
        <f>MASTER!B4</f>
        <v/>
      </c>
      <c r="C5" s="20">
        <f>MASTER!C4</f>
        <v/>
      </c>
      <c r="D5" s="21">
        <f>MASTER!D4</f>
        <v/>
      </c>
      <c r="E5" s="21">
        <f>MASTER!E4</f>
        <v/>
      </c>
      <c r="F5" s="21">
        <f>MASTER!F4</f>
        <v/>
      </c>
      <c r="G5" s="20">
        <f>MASTER!G4</f>
        <v/>
      </c>
      <c r="H5" s="20">
        <f>MASTER!H4</f>
        <v/>
      </c>
      <c r="I5" s="20">
        <f>MASTER!I4</f>
        <v/>
      </c>
      <c r="J5" s="20">
        <f>MASTER!J4</f>
        <v/>
      </c>
      <c r="K5" s="20">
        <f>MASTER!K4</f>
        <v/>
      </c>
      <c r="L5" s="21">
        <f>MASTER!L4</f>
        <v/>
      </c>
      <c r="M5" s="21">
        <f>MASTER!M4</f>
        <v/>
      </c>
      <c r="N5" s="21">
        <f>MASTER!N4</f>
        <v/>
      </c>
      <c r="O5" s="23">
        <f>MASTER!O4</f>
        <v/>
      </c>
      <c r="P5" s="21">
        <f>MASTER!P4</f>
        <v/>
      </c>
      <c r="Q5" s="21">
        <f>MASTER!Q4</f>
        <v/>
      </c>
    </row>
    <row r="6" ht="35.05" customHeight="1" s="14">
      <c r="A6" s="20">
        <f>MASTER!A5</f>
        <v/>
      </c>
      <c r="B6" s="21">
        <f>MASTER!B5</f>
        <v/>
      </c>
      <c r="C6" s="20">
        <f>MASTER!C5</f>
        <v/>
      </c>
      <c r="D6" s="21">
        <f>MASTER!D5</f>
        <v/>
      </c>
      <c r="E6" s="21">
        <f>MASTER!E5</f>
        <v/>
      </c>
      <c r="F6" s="21">
        <f>MASTER!F5</f>
        <v/>
      </c>
      <c r="G6" s="20">
        <f>MASTER!G5</f>
        <v/>
      </c>
      <c r="H6" s="20">
        <f>MASTER!H5</f>
        <v/>
      </c>
      <c r="I6" s="20">
        <f>MASTER!I5</f>
        <v/>
      </c>
      <c r="J6" s="20">
        <f>MASTER!J5</f>
        <v/>
      </c>
      <c r="K6" s="20">
        <f>MASTER!K5</f>
        <v/>
      </c>
      <c r="L6" s="21">
        <f>MASTER!L5</f>
        <v/>
      </c>
      <c r="M6" s="21">
        <f>MASTER!M5</f>
        <v/>
      </c>
      <c r="N6" s="21">
        <f>MASTER!N5</f>
        <v/>
      </c>
      <c r="O6" s="23">
        <f>MASTER!O5</f>
        <v/>
      </c>
      <c r="P6" s="21">
        <f>MASTER!P5</f>
        <v/>
      </c>
      <c r="Q6" s="21">
        <f>MASTER!Q5</f>
        <v/>
      </c>
    </row>
    <row r="7" ht="35.05" customHeight="1" s="14">
      <c r="A7" s="20">
        <f>MASTER!A6</f>
        <v/>
      </c>
      <c r="B7" s="21">
        <f>MASTER!B6</f>
        <v/>
      </c>
      <c r="C7" s="20">
        <f>MASTER!C6</f>
        <v/>
      </c>
      <c r="D7" s="21">
        <f>MASTER!D6</f>
        <v/>
      </c>
      <c r="E7" s="21">
        <f>MASTER!E6</f>
        <v/>
      </c>
      <c r="F7" s="21">
        <f>MASTER!F6</f>
        <v/>
      </c>
      <c r="G7" s="20">
        <f>MASTER!G6</f>
        <v/>
      </c>
      <c r="H7" s="20">
        <f>MASTER!H6</f>
        <v/>
      </c>
      <c r="I7" s="20">
        <f>MASTER!I6</f>
        <v/>
      </c>
      <c r="J7" s="20">
        <f>MASTER!J6</f>
        <v/>
      </c>
      <c r="K7" s="20">
        <f>MASTER!K6</f>
        <v/>
      </c>
      <c r="L7" s="21">
        <f>MASTER!L6</f>
        <v/>
      </c>
      <c r="M7" s="21">
        <f>MASTER!M6</f>
        <v/>
      </c>
      <c r="N7" s="21">
        <f>MASTER!N6</f>
        <v/>
      </c>
      <c r="O7" s="23">
        <f>MASTER!O6</f>
        <v/>
      </c>
      <c r="P7" s="21">
        <f>MASTER!P6</f>
        <v/>
      </c>
      <c r="Q7" s="21">
        <f>MASTER!Q6</f>
        <v/>
      </c>
    </row>
    <row r="8" ht="23.85" customHeight="1" s="14">
      <c r="A8" s="20">
        <f>MASTER!A7</f>
        <v/>
      </c>
      <c r="B8" s="21">
        <f>MASTER!B7</f>
        <v/>
      </c>
      <c r="C8" s="20">
        <f>MASTER!C7</f>
        <v/>
      </c>
      <c r="D8" s="21">
        <f>MASTER!D7</f>
        <v/>
      </c>
      <c r="E8" s="21">
        <f>MASTER!E7</f>
        <v/>
      </c>
      <c r="F8" s="21">
        <f>MASTER!F7</f>
        <v/>
      </c>
      <c r="G8" s="20">
        <f>MASTER!G7</f>
        <v/>
      </c>
      <c r="H8" s="20">
        <f>MASTER!H7</f>
        <v/>
      </c>
      <c r="I8" s="20">
        <f>MASTER!I7</f>
        <v/>
      </c>
      <c r="J8" s="20">
        <f>MASTER!J7</f>
        <v/>
      </c>
      <c r="K8" s="20">
        <f>MASTER!K7</f>
        <v/>
      </c>
      <c r="L8" s="21">
        <f>MASTER!L7</f>
        <v/>
      </c>
      <c r="M8" s="21">
        <f>MASTER!M7</f>
        <v/>
      </c>
      <c r="N8" s="21">
        <f>MASTER!N7</f>
        <v/>
      </c>
      <c r="O8" s="23">
        <f>MASTER!O7</f>
        <v/>
      </c>
      <c r="P8" s="21">
        <f>MASTER!P7</f>
        <v/>
      </c>
      <c r="Q8" s="21">
        <f>MASTER!Q7</f>
        <v/>
      </c>
    </row>
    <row r="9" ht="23.85" customHeight="1" s="14">
      <c r="A9" s="20">
        <f>MASTER!A8</f>
        <v/>
      </c>
      <c r="B9" s="21">
        <f>MASTER!B8</f>
        <v/>
      </c>
      <c r="C9" s="20">
        <f>MASTER!C8</f>
        <v/>
      </c>
      <c r="D9" s="21">
        <f>MASTER!D8</f>
        <v/>
      </c>
      <c r="E9" s="21">
        <f>MASTER!E8</f>
        <v/>
      </c>
      <c r="F9" s="21">
        <f>MASTER!F8</f>
        <v/>
      </c>
      <c r="G9" s="20">
        <f>MASTER!G8</f>
        <v/>
      </c>
      <c r="H9" s="20">
        <f>MASTER!H8</f>
        <v/>
      </c>
      <c r="I9" s="20">
        <f>MASTER!I8</f>
        <v/>
      </c>
      <c r="J9" s="20">
        <f>MASTER!J8</f>
        <v/>
      </c>
      <c r="K9" s="20">
        <f>MASTER!K8</f>
        <v/>
      </c>
      <c r="L9" s="21">
        <f>MASTER!L8</f>
        <v/>
      </c>
      <c r="M9" s="21">
        <f>MASTER!M8</f>
        <v/>
      </c>
      <c r="N9" s="21">
        <f>MASTER!N8</f>
        <v/>
      </c>
      <c r="O9" s="23">
        <f>MASTER!O8</f>
        <v/>
      </c>
      <c r="P9" s="21">
        <f>MASTER!P8</f>
        <v/>
      </c>
      <c r="Q9" s="21">
        <f>MASTER!Q8</f>
        <v/>
      </c>
    </row>
    <row r="10" ht="23.85" customHeight="1" s="14">
      <c r="A10" s="20">
        <f>MASTER!A9</f>
        <v/>
      </c>
      <c r="B10" s="21">
        <f>MASTER!B9</f>
        <v/>
      </c>
      <c r="C10" s="20">
        <f>MASTER!C9</f>
        <v/>
      </c>
      <c r="D10" s="21">
        <f>MASTER!D9</f>
        <v/>
      </c>
      <c r="E10" s="21">
        <f>MASTER!E9</f>
        <v/>
      </c>
      <c r="F10" s="21">
        <f>MASTER!F9</f>
        <v/>
      </c>
      <c r="G10" s="20">
        <f>MASTER!G9</f>
        <v/>
      </c>
      <c r="H10" s="20">
        <f>MASTER!H9</f>
        <v/>
      </c>
      <c r="I10" s="20">
        <f>MASTER!I9</f>
        <v/>
      </c>
      <c r="J10" s="20">
        <f>MASTER!J9</f>
        <v/>
      </c>
      <c r="K10" s="20">
        <f>MASTER!K9</f>
        <v/>
      </c>
      <c r="L10" s="21">
        <f>MASTER!L9</f>
        <v/>
      </c>
      <c r="M10" s="21">
        <f>MASTER!M9</f>
        <v/>
      </c>
      <c r="N10" s="21">
        <f>MASTER!N9</f>
        <v/>
      </c>
      <c r="O10" s="23">
        <f>MASTER!O9</f>
        <v/>
      </c>
      <c r="P10" s="21">
        <f>MASTER!P9</f>
        <v/>
      </c>
      <c r="Q10" s="21">
        <f>MASTER!Q9</f>
        <v/>
      </c>
    </row>
    <row r="11" ht="35.05" customHeight="1" s="14">
      <c r="A11" s="20">
        <f>MASTER!A10</f>
        <v/>
      </c>
      <c r="B11" s="21">
        <f>MASTER!B10</f>
        <v/>
      </c>
      <c r="C11" s="20">
        <f>MASTER!C10</f>
        <v/>
      </c>
      <c r="D11" s="21">
        <f>MASTER!D10</f>
        <v/>
      </c>
      <c r="E11" s="21">
        <f>MASTER!E10</f>
        <v/>
      </c>
      <c r="F11" s="21">
        <f>MASTER!F10</f>
        <v/>
      </c>
      <c r="G11" s="20">
        <f>MASTER!G10</f>
        <v/>
      </c>
      <c r="H11" s="20">
        <f>MASTER!H10</f>
        <v/>
      </c>
      <c r="I11" s="20">
        <f>MASTER!I10</f>
        <v/>
      </c>
      <c r="J11" s="20">
        <f>MASTER!J10</f>
        <v/>
      </c>
      <c r="K11" s="20">
        <f>MASTER!K10</f>
        <v/>
      </c>
      <c r="L11" s="21">
        <f>MASTER!L10</f>
        <v/>
      </c>
      <c r="M11" s="21">
        <f>MASTER!M10</f>
        <v/>
      </c>
      <c r="N11" s="21">
        <f>MASTER!N10</f>
        <v/>
      </c>
      <c r="O11" s="23">
        <f>MASTER!O10</f>
        <v/>
      </c>
      <c r="P11" s="21">
        <f>MASTER!P10</f>
        <v/>
      </c>
      <c r="Q11" s="21">
        <f>MASTER!Q10</f>
        <v/>
      </c>
    </row>
    <row r="12" ht="15" customHeight="1" s="14">
      <c r="A12" s="20">
        <f>MASTER!A11</f>
        <v/>
      </c>
      <c r="B12" s="21">
        <f>MASTER!B11</f>
        <v/>
      </c>
      <c r="C12" s="20">
        <f>MASTER!C11</f>
        <v/>
      </c>
      <c r="D12" s="21">
        <f>MASTER!D11</f>
        <v/>
      </c>
      <c r="E12" s="21">
        <f>MASTER!E11</f>
        <v/>
      </c>
      <c r="F12" s="21">
        <f>MASTER!F11</f>
        <v/>
      </c>
      <c r="G12" s="20">
        <f>MASTER!G11</f>
        <v/>
      </c>
      <c r="H12" s="20">
        <f>MASTER!H11</f>
        <v/>
      </c>
      <c r="I12" s="20">
        <f>MASTER!I11</f>
        <v/>
      </c>
      <c r="J12" s="20">
        <f>MASTER!J11</f>
        <v/>
      </c>
      <c r="K12" s="20">
        <f>MASTER!K11</f>
        <v/>
      </c>
      <c r="L12" s="21">
        <f>MASTER!L11</f>
        <v/>
      </c>
      <c r="M12" s="21">
        <f>MASTER!M11</f>
        <v/>
      </c>
      <c r="N12" s="21">
        <f>MASTER!N11</f>
        <v/>
      </c>
      <c r="O12" s="23">
        <f>MASTER!O11</f>
        <v/>
      </c>
      <c r="P12" s="21">
        <f>MASTER!P11</f>
        <v/>
      </c>
      <c r="Q12" s="21">
        <f>MASTER!Q11</f>
        <v/>
      </c>
    </row>
    <row r="13" ht="23.85" customHeight="1" s="14">
      <c r="A13" s="20">
        <f>MASTER!A12</f>
        <v/>
      </c>
      <c r="B13" s="21">
        <f>MASTER!B12</f>
        <v/>
      </c>
      <c r="C13" s="20">
        <f>MASTER!C12</f>
        <v/>
      </c>
      <c r="D13" s="21">
        <f>MASTER!D12</f>
        <v/>
      </c>
      <c r="E13" s="21">
        <f>MASTER!E12</f>
        <v/>
      </c>
      <c r="F13" s="21">
        <f>MASTER!F12</f>
        <v/>
      </c>
      <c r="G13" s="20">
        <f>MASTER!G12</f>
        <v/>
      </c>
      <c r="H13" s="20">
        <f>MASTER!H12</f>
        <v/>
      </c>
      <c r="I13" s="20">
        <f>MASTER!I12</f>
        <v/>
      </c>
      <c r="J13" s="20">
        <f>MASTER!J12</f>
        <v/>
      </c>
      <c r="K13" s="20">
        <f>MASTER!K12</f>
        <v/>
      </c>
      <c r="L13" s="21">
        <f>MASTER!L12</f>
        <v/>
      </c>
      <c r="M13" s="21">
        <f>MASTER!M12</f>
        <v/>
      </c>
      <c r="N13" s="21">
        <f>MASTER!N12</f>
        <v/>
      </c>
      <c r="O13" s="23">
        <f>MASTER!O12</f>
        <v/>
      </c>
      <c r="P13" s="21">
        <f>MASTER!P12</f>
        <v/>
      </c>
      <c r="Q13" s="21">
        <f>MASTER!Q12</f>
        <v/>
      </c>
    </row>
    <row r="14" ht="23.85" customHeight="1" s="14">
      <c r="A14" s="20">
        <f>MASTER!A13</f>
        <v/>
      </c>
      <c r="B14" s="21">
        <f>MASTER!B13</f>
        <v/>
      </c>
      <c r="C14" s="20">
        <f>MASTER!C13</f>
        <v/>
      </c>
      <c r="D14" s="21">
        <f>MASTER!D13</f>
        <v/>
      </c>
      <c r="E14" s="21">
        <f>MASTER!E13</f>
        <v/>
      </c>
      <c r="F14" s="21">
        <f>MASTER!F13</f>
        <v/>
      </c>
      <c r="G14" s="20">
        <f>MASTER!G13</f>
        <v/>
      </c>
      <c r="H14" s="20">
        <f>MASTER!H13</f>
        <v/>
      </c>
      <c r="I14" s="20">
        <f>MASTER!I13</f>
        <v/>
      </c>
      <c r="J14" s="20">
        <f>MASTER!J13</f>
        <v/>
      </c>
      <c r="K14" s="20">
        <f>MASTER!K13</f>
        <v/>
      </c>
      <c r="L14" s="21">
        <f>MASTER!L13</f>
        <v/>
      </c>
      <c r="M14" s="21">
        <f>MASTER!M13</f>
        <v/>
      </c>
      <c r="N14" s="21">
        <f>MASTER!N13</f>
        <v/>
      </c>
      <c r="O14" s="23">
        <f>MASTER!O13</f>
        <v/>
      </c>
      <c r="P14" s="21">
        <f>MASTER!P13</f>
        <v/>
      </c>
      <c r="Q14" s="21">
        <f>MASTER!Q13</f>
        <v/>
      </c>
    </row>
    <row r="15" ht="23.85" customHeight="1" s="14">
      <c r="A15" s="20">
        <f>MASTER!A14</f>
        <v/>
      </c>
      <c r="B15" s="21">
        <f>MASTER!B14</f>
        <v/>
      </c>
      <c r="C15" s="20">
        <f>MASTER!C14</f>
        <v/>
      </c>
      <c r="D15" s="21">
        <f>MASTER!D14</f>
        <v/>
      </c>
      <c r="E15" s="21">
        <f>MASTER!E14</f>
        <v/>
      </c>
      <c r="F15" s="21">
        <f>MASTER!F14</f>
        <v/>
      </c>
      <c r="G15" s="20">
        <f>MASTER!G14</f>
        <v/>
      </c>
      <c r="H15" s="20">
        <f>MASTER!H14</f>
        <v/>
      </c>
      <c r="I15" s="20">
        <f>MASTER!I14</f>
        <v/>
      </c>
      <c r="J15" s="20">
        <f>MASTER!J14</f>
        <v/>
      </c>
      <c r="K15" s="20">
        <f>MASTER!K14</f>
        <v/>
      </c>
      <c r="L15" s="21">
        <f>MASTER!L14</f>
        <v/>
      </c>
      <c r="M15" s="21">
        <f>MASTER!M14</f>
        <v/>
      </c>
      <c r="N15" s="21">
        <f>MASTER!N14</f>
        <v/>
      </c>
      <c r="O15" s="23">
        <f>MASTER!O14</f>
        <v/>
      </c>
      <c r="P15" s="21">
        <f>MASTER!P14</f>
        <v/>
      </c>
      <c r="Q15" s="21">
        <f>MASTER!Q14</f>
        <v/>
      </c>
    </row>
    <row r="16" ht="23.85" customHeight="1" s="14">
      <c r="A16" s="20">
        <f>MASTER!A15</f>
        <v/>
      </c>
      <c r="B16" s="21">
        <f>MASTER!B15</f>
        <v/>
      </c>
      <c r="C16" s="20">
        <f>MASTER!C15</f>
        <v/>
      </c>
      <c r="D16" s="21">
        <f>MASTER!D15</f>
        <v/>
      </c>
      <c r="E16" s="21">
        <f>MASTER!E15</f>
        <v/>
      </c>
      <c r="F16" s="21">
        <f>MASTER!F15</f>
        <v/>
      </c>
      <c r="G16" s="20">
        <f>MASTER!G15</f>
        <v/>
      </c>
      <c r="H16" s="20">
        <f>MASTER!H15</f>
        <v/>
      </c>
      <c r="I16" s="20">
        <f>MASTER!I15</f>
        <v/>
      </c>
      <c r="J16" s="20">
        <f>MASTER!J15</f>
        <v/>
      </c>
      <c r="K16" s="20">
        <f>MASTER!K15</f>
        <v/>
      </c>
      <c r="L16" s="21">
        <f>MASTER!L15</f>
        <v/>
      </c>
      <c r="M16" s="21">
        <f>MASTER!M15</f>
        <v/>
      </c>
      <c r="N16" s="21">
        <f>MASTER!N15</f>
        <v/>
      </c>
      <c r="O16" s="23">
        <f>MASTER!O15</f>
        <v/>
      </c>
      <c r="P16" s="21">
        <f>MASTER!P15</f>
        <v/>
      </c>
      <c r="Q16" s="21">
        <f>MASTER!Q15</f>
        <v/>
      </c>
    </row>
    <row r="17" ht="15" customHeight="1" s="14">
      <c r="A17" s="20">
        <f>MASTER!A16</f>
        <v/>
      </c>
      <c r="B17" s="21">
        <f>MASTER!B16</f>
        <v/>
      </c>
      <c r="C17" s="20">
        <f>MASTER!C16</f>
        <v/>
      </c>
      <c r="D17" s="21">
        <f>MASTER!D16</f>
        <v/>
      </c>
      <c r="E17" s="21">
        <f>MASTER!E16</f>
        <v/>
      </c>
      <c r="F17" s="21">
        <f>MASTER!F16</f>
        <v/>
      </c>
      <c r="G17" s="20">
        <f>MASTER!G16</f>
        <v/>
      </c>
      <c r="H17" s="20">
        <f>MASTER!H16</f>
        <v/>
      </c>
      <c r="I17" s="20">
        <f>MASTER!I16</f>
        <v/>
      </c>
      <c r="J17" s="20">
        <f>MASTER!J16</f>
        <v/>
      </c>
      <c r="K17" s="20">
        <f>MASTER!K16</f>
        <v/>
      </c>
      <c r="L17" s="21">
        <f>MASTER!L16</f>
        <v/>
      </c>
      <c r="M17" s="21">
        <f>MASTER!M16</f>
        <v/>
      </c>
      <c r="N17" s="21">
        <f>MASTER!N16</f>
        <v/>
      </c>
      <c r="O17" s="23">
        <f>MASTER!O16</f>
        <v/>
      </c>
      <c r="P17" s="21">
        <f>MASTER!P16</f>
        <v/>
      </c>
      <c r="Q17" s="21">
        <f>MASTER!Q16</f>
        <v/>
      </c>
    </row>
    <row r="18" ht="23.85" customHeight="1" s="14">
      <c r="A18" s="20">
        <f>MASTER!A17</f>
        <v/>
      </c>
      <c r="B18" s="21">
        <f>MASTER!B17</f>
        <v/>
      </c>
      <c r="C18" s="20">
        <f>MASTER!C17</f>
        <v/>
      </c>
      <c r="D18" s="21">
        <f>MASTER!D17</f>
        <v/>
      </c>
      <c r="E18" s="21">
        <f>MASTER!E17</f>
        <v/>
      </c>
      <c r="F18" s="21">
        <f>MASTER!F17</f>
        <v/>
      </c>
      <c r="G18" s="20">
        <f>MASTER!G17</f>
        <v/>
      </c>
      <c r="H18" s="20">
        <f>MASTER!H17</f>
        <v/>
      </c>
      <c r="I18" s="20">
        <f>MASTER!I17</f>
        <v/>
      </c>
      <c r="J18" s="20">
        <f>MASTER!J17</f>
        <v/>
      </c>
      <c r="K18" s="20">
        <f>MASTER!K17</f>
        <v/>
      </c>
      <c r="L18" s="21">
        <f>MASTER!L17</f>
        <v/>
      </c>
      <c r="M18" s="21">
        <f>MASTER!M17</f>
        <v/>
      </c>
      <c r="N18" s="21">
        <f>MASTER!N17</f>
        <v/>
      </c>
      <c r="O18" s="23">
        <f>MASTER!O17</f>
        <v/>
      </c>
      <c r="P18" s="21">
        <f>MASTER!P17</f>
        <v/>
      </c>
      <c r="Q18" s="21">
        <f>MASTER!Q17</f>
        <v/>
      </c>
    </row>
    <row r="19" ht="15" customHeight="1" s="14">
      <c r="A19" s="20">
        <f>MASTER!A18</f>
        <v/>
      </c>
      <c r="B19" s="21">
        <f>MASTER!B18</f>
        <v/>
      </c>
      <c r="C19" s="20">
        <f>MASTER!C18</f>
        <v/>
      </c>
      <c r="D19" s="21">
        <f>MASTER!D18</f>
        <v/>
      </c>
      <c r="E19" s="21">
        <f>MASTER!E18</f>
        <v/>
      </c>
      <c r="F19" s="21">
        <f>MASTER!F18</f>
        <v/>
      </c>
      <c r="G19" s="20">
        <f>MASTER!G18</f>
        <v/>
      </c>
      <c r="H19" s="20">
        <f>MASTER!H18</f>
        <v/>
      </c>
      <c r="I19" s="20">
        <f>MASTER!I18</f>
        <v/>
      </c>
      <c r="J19" s="20">
        <f>MASTER!J18</f>
        <v/>
      </c>
      <c r="K19" s="20">
        <f>MASTER!K18</f>
        <v/>
      </c>
      <c r="L19" s="21">
        <f>MASTER!L18</f>
        <v/>
      </c>
      <c r="M19" s="21">
        <f>MASTER!M18</f>
        <v/>
      </c>
      <c r="N19" s="21">
        <f>MASTER!N18</f>
        <v/>
      </c>
      <c r="O19" s="23">
        <f>MASTER!O18</f>
        <v/>
      </c>
      <c r="P19" s="21">
        <f>MASTER!P18</f>
        <v/>
      </c>
      <c r="Q19" s="21">
        <f>MASTER!Q18</f>
        <v/>
      </c>
    </row>
    <row r="20" ht="15" customHeight="1" s="14">
      <c r="A20" s="20">
        <f>MASTER!A19</f>
        <v/>
      </c>
      <c r="B20" s="21">
        <f>MASTER!B19</f>
        <v/>
      </c>
      <c r="C20" s="20">
        <f>MASTER!C19</f>
        <v/>
      </c>
      <c r="D20" s="21">
        <f>MASTER!D19</f>
        <v/>
      </c>
      <c r="E20" s="21">
        <f>MASTER!E19</f>
        <v/>
      </c>
      <c r="F20" s="21">
        <f>MASTER!F19</f>
        <v/>
      </c>
      <c r="G20" s="20">
        <f>MASTER!G19</f>
        <v/>
      </c>
      <c r="H20" s="20">
        <f>MASTER!H19</f>
        <v/>
      </c>
      <c r="I20" s="20">
        <f>MASTER!I19</f>
        <v/>
      </c>
      <c r="J20" s="20">
        <f>MASTER!J19</f>
        <v/>
      </c>
      <c r="K20" s="20">
        <f>MASTER!K19</f>
        <v/>
      </c>
      <c r="L20" s="21">
        <f>MASTER!L19</f>
        <v/>
      </c>
      <c r="M20" s="21">
        <f>MASTER!M19</f>
        <v/>
      </c>
      <c r="N20" s="21">
        <f>MASTER!N19</f>
        <v/>
      </c>
      <c r="O20" s="23">
        <f>MASTER!O19</f>
        <v/>
      </c>
      <c r="P20" s="21">
        <f>MASTER!P19</f>
        <v/>
      </c>
      <c r="Q20" s="21">
        <f>MASTER!Q19</f>
        <v/>
      </c>
    </row>
    <row r="21" ht="23.85" customHeight="1" s="14">
      <c r="A21" s="20">
        <f>MASTER!A20</f>
        <v/>
      </c>
      <c r="B21" s="21">
        <f>MASTER!B20</f>
        <v/>
      </c>
      <c r="C21" s="20">
        <f>MASTER!C20</f>
        <v/>
      </c>
      <c r="D21" s="21">
        <f>MASTER!D20</f>
        <v/>
      </c>
      <c r="E21" s="21">
        <f>MASTER!E20</f>
        <v/>
      </c>
      <c r="F21" s="21">
        <f>MASTER!F20</f>
        <v/>
      </c>
      <c r="G21" s="20">
        <f>MASTER!G20</f>
        <v/>
      </c>
      <c r="H21" s="20">
        <f>MASTER!H20</f>
        <v/>
      </c>
      <c r="I21" s="20">
        <f>MASTER!I20</f>
        <v/>
      </c>
      <c r="J21" s="20">
        <f>MASTER!J20</f>
        <v/>
      </c>
      <c r="K21" s="20">
        <f>MASTER!K20</f>
        <v/>
      </c>
      <c r="L21" s="21">
        <f>MASTER!L20</f>
        <v/>
      </c>
      <c r="M21" s="21">
        <f>MASTER!M20</f>
        <v/>
      </c>
      <c r="N21" s="21">
        <f>MASTER!N20</f>
        <v/>
      </c>
      <c r="O21" s="23">
        <f>MASTER!O20</f>
        <v/>
      </c>
      <c r="P21" s="21">
        <f>MASTER!P20</f>
        <v/>
      </c>
      <c r="Q21" s="21">
        <f>MASTER!Q20</f>
        <v/>
      </c>
    </row>
    <row r="22" ht="23.85" customHeight="1" s="14">
      <c r="A22" s="20">
        <f>MASTER!A21</f>
        <v/>
      </c>
      <c r="B22" s="21">
        <f>MASTER!B21</f>
        <v/>
      </c>
      <c r="C22" s="20">
        <f>MASTER!C21</f>
        <v/>
      </c>
      <c r="D22" s="21">
        <f>MASTER!D21</f>
        <v/>
      </c>
      <c r="E22" s="21">
        <f>MASTER!E21</f>
        <v/>
      </c>
      <c r="F22" s="21">
        <f>MASTER!F21</f>
        <v/>
      </c>
      <c r="G22" s="20">
        <f>MASTER!G21</f>
        <v/>
      </c>
      <c r="H22" s="20">
        <f>MASTER!H21</f>
        <v/>
      </c>
      <c r="I22" s="20">
        <f>MASTER!I21</f>
        <v/>
      </c>
      <c r="J22" s="20">
        <f>MASTER!J21</f>
        <v/>
      </c>
      <c r="K22" s="20">
        <f>MASTER!K21</f>
        <v/>
      </c>
      <c r="L22" s="21">
        <f>MASTER!L21</f>
        <v/>
      </c>
      <c r="M22" s="21">
        <f>MASTER!M21</f>
        <v/>
      </c>
      <c r="N22" s="21">
        <f>MASTER!N21</f>
        <v/>
      </c>
      <c r="O22" s="23">
        <f>MASTER!O21</f>
        <v/>
      </c>
      <c r="P22" s="21">
        <f>MASTER!P21</f>
        <v/>
      </c>
      <c r="Q22" s="21">
        <f>MASTER!Q21</f>
        <v/>
      </c>
    </row>
    <row r="23" ht="15" customHeight="1" s="14">
      <c r="A23" s="20">
        <f>MASTER!A22</f>
        <v/>
      </c>
      <c r="B23" s="21">
        <f>MASTER!B22</f>
        <v/>
      </c>
      <c r="C23" s="20">
        <f>MASTER!C22</f>
        <v/>
      </c>
      <c r="D23" s="21">
        <f>MASTER!D22</f>
        <v/>
      </c>
      <c r="E23" s="21">
        <f>MASTER!E22</f>
        <v/>
      </c>
      <c r="F23" s="21">
        <f>MASTER!F22</f>
        <v/>
      </c>
      <c r="G23" s="20">
        <f>MASTER!G22</f>
        <v/>
      </c>
      <c r="H23" s="20">
        <f>MASTER!H22</f>
        <v/>
      </c>
      <c r="I23" s="20">
        <f>MASTER!I22</f>
        <v/>
      </c>
      <c r="J23" s="20">
        <f>MASTER!J22</f>
        <v/>
      </c>
      <c r="K23" s="20">
        <f>MASTER!K22</f>
        <v/>
      </c>
      <c r="L23" s="21">
        <f>MASTER!L22</f>
        <v/>
      </c>
      <c r="M23" s="21">
        <f>MASTER!M22</f>
        <v/>
      </c>
      <c r="N23" s="21">
        <f>MASTER!N22</f>
        <v/>
      </c>
      <c r="O23" s="23">
        <f>MASTER!O22</f>
        <v/>
      </c>
      <c r="P23" s="21">
        <f>MASTER!P22</f>
        <v/>
      </c>
      <c r="Q23" s="21">
        <f>MASTER!Q22</f>
        <v/>
      </c>
    </row>
    <row r="24" ht="15" customHeight="1" s="14">
      <c r="A24" s="20">
        <f>MASTER!A23</f>
        <v/>
      </c>
      <c r="B24" s="21">
        <f>MASTER!B23</f>
        <v/>
      </c>
      <c r="C24" s="20">
        <f>MASTER!C23</f>
        <v/>
      </c>
      <c r="D24" s="21">
        <f>MASTER!D23</f>
        <v/>
      </c>
      <c r="E24" s="21">
        <f>MASTER!E23</f>
        <v/>
      </c>
      <c r="F24" s="21">
        <f>MASTER!F23</f>
        <v/>
      </c>
      <c r="G24" s="20">
        <f>MASTER!G23</f>
        <v/>
      </c>
      <c r="H24" s="20">
        <f>MASTER!H23</f>
        <v/>
      </c>
      <c r="I24" s="20">
        <f>MASTER!I23</f>
        <v/>
      </c>
      <c r="J24" s="20">
        <f>MASTER!J23</f>
        <v/>
      </c>
      <c r="K24" s="20">
        <f>MASTER!K23</f>
        <v/>
      </c>
      <c r="L24" s="21">
        <f>MASTER!L23</f>
        <v/>
      </c>
      <c r="M24" s="21">
        <f>MASTER!M23</f>
        <v/>
      </c>
      <c r="N24" s="21">
        <f>MASTER!N23</f>
        <v/>
      </c>
      <c r="O24" s="23">
        <f>MASTER!O23</f>
        <v/>
      </c>
      <c r="P24" s="21">
        <f>MASTER!P23</f>
        <v/>
      </c>
      <c r="Q24" s="21">
        <f>MASTER!Q23</f>
        <v/>
      </c>
    </row>
    <row r="25" ht="35.05" customHeight="1" s="14">
      <c r="A25" s="20">
        <f>MASTER!A24</f>
        <v/>
      </c>
      <c r="B25" s="21">
        <f>MASTER!B24</f>
        <v/>
      </c>
      <c r="C25" s="20">
        <f>MASTER!C24</f>
        <v/>
      </c>
      <c r="D25" s="21">
        <f>MASTER!D24</f>
        <v/>
      </c>
      <c r="E25" s="21">
        <f>MASTER!E24</f>
        <v/>
      </c>
      <c r="F25" s="21">
        <f>MASTER!F24</f>
        <v/>
      </c>
      <c r="G25" s="20">
        <f>MASTER!G24</f>
        <v/>
      </c>
      <c r="H25" s="20">
        <f>MASTER!H24</f>
        <v/>
      </c>
      <c r="I25" s="20">
        <f>MASTER!I24</f>
        <v/>
      </c>
      <c r="J25" s="20">
        <f>MASTER!J24</f>
        <v/>
      </c>
      <c r="K25" s="20">
        <f>MASTER!K24</f>
        <v/>
      </c>
      <c r="L25" s="21">
        <f>MASTER!L24</f>
        <v/>
      </c>
      <c r="M25" s="21">
        <f>MASTER!M24</f>
        <v/>
      </c>
      <c r="N25" s="21">
        <f>MASTER!N24</f>
        <v/>
      </c>
      <c r="O25" s="23">
        <f>MASTER!O24</f>
        <v/>
      </c>
      <c r="P25" s="21">
        <f>MASTER!P24</f>
        <v/>
      </c>
      <c r="Q25" s="21">
        <f>MASTER!Q24</f>
        <v/>
      </c>
    </row>
    <row r="26" ht="23.85" customHeight="1" s="14">
      <c r="A26" s="20">
        <f>MASTER!A25</f>
        <v/>
      </c>
      <c r="B26" s="21">
        <f>MASTER!B25</f>
        <v/>
      </c>
      <c r="C26" s="20">
        <f>MASTER!C25</f>
        <v/>
      </c>
      <c r="D26" s="21">
        <f>MASTER!D25</f>
        <v/>
      </c>
      <c r="E26" s="21">
        <f>MASTER!E25</f>
        <v/>
      </c>
      <c r="F26" s="21">
        <f>MASTER!F25</f>
        <v/>
      </c>
      <c r="G26" s="20">
        <f>MASTER!G25</f>
        <v/>
      </c>
      <c r="H26" s="20">
        <f>MASTER!H25</f>
        <v/>
      </c>
      <c r="I26" s="20">
        <f>MASTER!I25</f>
        <v/>
      </c>
      <c r="J26" s="20">
        <f>MASTER!J25</f>
        <v/>
      </c>
      <c r="K26" s="20">
        <f>MASTER!K25</f>
        <v/>
      </c>
      <c r="L26" s="21">
        <f>MASTER!L25</f>
        <v/>
      </c>
      <c r="M26" s="21">
        <f>MASTER!M25</f>
        <v/>
      </c>
      <c r="N26" s="21">
        <f>MASTER!N25</f>
        <v/>
      </c>
      <c r="O26" s="23">
        <f>MASTER!O25</f>
        <v/>
      </c>
      <c r="P26" s="21">
        <f>MASTER!P25</f>
        <v/>
      </c>
      <c r="Q26" s="21">
        <f>MASTER!Q25</f>
        <v/>
      </c>
    </row>
    <row r="27" ht="23.85" customHeight="1" s="14">
      <c r="A27" s="20">
        <f>MASTER!A26</f>
        <v/>
      </c>
      <c r="B27" s="21">
        <f>MASTER!B26</f>
        <v/>
      </c>
      <c r="C27" s="20">
        <f>MASTER!C26</f>
        <v/>
      </c>
      <c r="D27" s="21">
        <f>MASTER!D26</f>
        <v/>
      </c>
      <c r="E27" s="21">
        <f>MASTER!E26</f>
        <v/>
      </c>
      <c r="F27" s="21">
        <f>MASTER!F26</f>
        <v/>
      </c>
      <c r="G27" s="20">
        <f>MASTER!G26</f>
        <v/>
      </c>
      <c r="H27" s="20">
        <f>MASTER!H26</f>
        <v/>
      </c>
      <c r="I27" s="20">
        <f>MASTER!I26</f>
        <v/>
      </c>
      <c r="J27" s="20">
        <f>MASTER!J26</f>
        <v/>
      </c>
      <c r="K27" s="20">
        <f>MASTER!K26</f>
        <v/>
      </c>
      <c r="L27" s="21">
        <f>MASTER!L26</f>
        <v/>
      </c>
      <c r="M27" s="21">
        <f>MASTER!M26</f>
        <v/>
      </c>
      <c r="N27" s="21">
        <f>MASTER!N26</f>
        <v/>
      </c>
      <c r="O27" s="23">
        <f>MASTER!O26</f>
        <v/>
      </c>
      <c r="P27" s="21">
        <f>MASTER!P26</f>
        <v/>
      </c>
      <c r="Q27" s="21">
        <f>MASTER!Q26</f>
        <v/>
      </c>
    </row>
    <row r="28" ht="23.85" customHeight="1" s="14">
      <c r="A28" s="20">
        <f>MASTER!A27</f>
        <v/>
      </c>
      <c r="B28" s="21">
        <f>MASTER!B27</f>
        <v/>
      </c>
      <c r="C28" s="20">
        <f>MASTER!C27</f>
        <v/>
      </c>
      <c r="D28" s="21">
        <f>MASTER!D27</f>
        <v/>
      </c>
      <c r="E28" s="21">
        <f>MASTER!E27</f>
        <v/>
      </c>
      <c r="F28" s="21">
        <f>MASTER!F27</f>
        <v/>
      </c>
      <c r="G28" s="20">
        <f>MASTER!G27</f>
        <v/>
      </c>
      <c r="H28" s="20">
        <f>MASTER!H27</f>
        <v/>
      </c>
      <c r="I28" s="20">
        <f>MASTER!I27</f>
        <v/>
      </c>
      <c r="J28" s="20">
        <f>MASTER!J27</f>
        <v/>
      </c>
      <c r="K28" s="20">
        <f>MASTER!K27</f>
        <v/>
      </c>
      <c r="L28" s="21">
        <f>MASTER!L27</f>
        <v/>
      </c>
      <c r="M28" s="21">
        <f>MASTER!M27</f>
        <v/>
      </c>
      <c r="N28" s="21">
        <f>MASTER!N27</f>
        <v/>
      </c>
      <c r="O28" s="23">
        <f>MASTER!O27</f>
        <v/>
      </c>
      <c r="P28" s="21">
        <f>MASTER!P27</f>
        <v/>
      </c>
      <c r="Q28" s="21">
        <f>MASTER!Q27</f>
        <v/>
      </c>
    </row>
    <row r="29" ht="23.85" customHeight="1" s="14">
      <c r="A29" s="20">
        <f>MASTER!A28</f>
        <v/>
      </c>
      <c r="B29" s="21">
        <f>MASTER!B28</f>
        <v/>
      </c>
      <c r="C29" s="20">
        <f>MASTER!C28</f>
        <v/>
      </c>
      <c r="D29" s="21">
        <f>MASTER!D28</f>
        <v/>
      </c>
      <c r="E29" s="21">
        <f>MASTER!E28</f>
        <v/>
      </c>
      <c r="F29" s="21">
        <f>MASTER!F28</f>
        <v/>
      </c>
      <c r="G29" s="20">
        <f>MASTER!G28</f>
        <v/>
      </c>
      <c r="H29" s="20">
        <f>MASTER!H28</f>
        <v/>
      </c>
      <c r="I29" s="20">
        <f>MASTER!I28</f>
        <v/>
      </c>
      <c r="J29" s="20">
        <f>MASTER!J28</f>
        <v/>
      </c>
      <c r="K29" s="20">
        <f>MASTER!K28</f>
        <v/>
      </c>
      <c r="L29" s="21">
        <f>MASTER!L28</f>
        <v/>
      </c>
      <c r="M29" s="21">
        <f>MASTER!M28</f>
        <v/>
      </c>
      <c r="N29" s="21">
        <f>MASTER!N28</f>
        <v/>
      </c>
      <c r="O29" s="23">
        <f>MASTER!O28</f>
        <v/>
      </c>
      <c r="P29" s="21">
        <f>MASTER!P28</f>
        <v/>
      </c>
      <c r="Q29" s="21">
        <f>MASTER!Q28</f>
        <v/>
      </c>
    </row>
    <row r="30" ht="15" customHeight="1" s="14">
      <c r="A30" s="20">
        <f>MASTER!A29</f>
        <v/>
      </c>
      <c r="B30" s="21">
        <f>MASTER!B29</f>
        <v/>
      </c>
      <c r="C30" s="20">
        <f>MASTER!C29</f>
        <v/>
      </c>
      <c r="D30" s="21">
        <f>MASTER!D29</f>
        <v/>
      </c>
      <c r="E30" s="21">
        <f>MASTER!E29</f>
        <v/>
      </c>
      <c r="F30" s="21">
        <f>MASTER!F29</f>
        <v/>
      </c>
      <c r="G30" s="20">
        <f>MASTER!G29</f>
        <v/>
      </c>
      <c r="H30" s="20">
        <f>MASTER!H29</f>
        <v/>
      </c>
      <c r="I30" s="20">
        <f>MASTER!I29</f>
        <v/>
      </c>
      <c r="J30" s="20">
        <f>MASTER!J29</f>
        <v/>
      </c>
      <c r="K30" s="20">
        <f>MASTER!K29</f>
        <v/>
      </c>
      <c r="L30" s="21">
        <f>MASTER!L29</f>
        <v/>
      </c>
      <c r="M30" s="21">
        <f>MASTER!M29</f>
        <v/>
      </c>
      <c r="N30" s="21">
        <f>MASTER!N29</f>
        <v/>
      </c>
      <c r="O30" s="23">
        <f>MASTER!O29</f>
        <v/>
      </c>
      <c r="P30" s="21">
        <f>MASTER!P29</f>
        <v/>
      </c>
      <c r="Q30" s="21">
        <f>MASTER!Q29</f>
        <v/>
      </c>
    </row>
    <row r="31" ht="15" customHeight="1" s="14">
      <c r="A31" s="20">
        <f>MASTER!A30</f>
        <v/>
      </c>
      <c r="B31" s="21">
        <f>MASTER!B30</f>
        <v/>
      </c>
      <c r="C31" s="20">
        <f>MASTER!C30</f>
        <v/>
      </c>
      <c r="D31" s="21">
        <f>MASTER!D30</f>
        <v/>
      </c>
      <c r="E31" s="21">
        <f>MASTER!E30</f>
        <v/>
      </c>
      <c r="F31" s="21">
        <f>MASTER!F30</f>
        <v/>
      </c>
      <c r="G31" s="20">
        <f>MASTER!G30</f>
        <v/>
      </c>
      <c r="H31" s="20">
        <f>MASTER!H30</f>
        <v/>
      </c>
      <c r="I31" s="20">
        <f>MASTER!I30</f>
        <v/>
      </c>
      <c r="J31" s="20">
        <f>MASTER!J30</f>
        <v/>
      </c>
      <c r="K31" s="20">
        <f>MASTER!K30</f>
        <v/>
      </c>
      <c r="L31" s="21">
        <f>MASTER!L30</f>
        <v/>
      </c>
      <c r="M31" s="21">
        <f>MASTER!M30</f>
        <v/>
      </c>
      <c r="N31" s="21">
        <f>MASTER!N30</f>
        <v/>
      </c>
      <c r="O31" s="23">
        <f>MASTER!O30</f>
        <v/>
      </c>
      <c r="P31" s="21">
        <f>MASTER!P30</f>
        <v/>
      </c>
      <c r="Q31" s="21">
        <f>MASTER!Q30</f>
        <v/>
      </c>
    </row>
    <row r="32" ht="23.85" customHeight="1" s="14">
      <c r="A32" s="20">
        <f>MASTER!A31</f>
        <v/>
      </c>
      <c r="B32" s="21">
        <f>MASTER!B31</f>
        <v/>
      </c>
      <c r="C32" s="20">
        <f>MASTER!C31</f>
        <v/>
      </c>
      <c r="D32" s="21">
        <f>MASTER!D31</f>
        <v/>
      </c>
      <c r="E32" s="21">
        <f>MASTER!E31</f>
        <v/>
      </c>
      <c r="F32" s="21">
        <f>MASTER!F31</f>
        <v/>
      </c>
      <c r="G32" s="20">
        <f>MASTER!G31</f>
        <v/>
      </c>
      <c r="H32" s="20">
        <f>MASTER!H31</f>
        <v/>
      </c>
      <c r="I32" s="20">
        <f>MASTER!I31</f>
        <v/>
      </c>
      <c r="J32" s="20">
        <f>MASTER!J31</f>
        <v/>
      </c>
      <c r="K32" s="20">
        <f>MASTER!K31</f>
        <v/>
      </c>
      <c r="L32" s="21">
        <f>MASTER!L31</f>
        <v/>
      </c>
      <c r="M32" s="21">
        <f>MASTER!M31</f>
        <v/>
      </c>
      <c r="N32" s="21">
        <f>MASTER!N31</f>
        <v/>
      </c>
      <c r="O32" s="23">
        <f>MASTER!O31</f>
        <v/>
      </c>
      <c r="P32" s="21">
        <f>MASTER!P31</f>
        <v/>
      </c>
      <c r="Q32" s="21">
        <f>MASTER!Q31</f>
        <v/>
      </c>
    </row>
    <row r="33" ht="15" customHeight="1" s="14">
      <c r="A33" s="20">
        <f>MASTER!A32</f>
        <v/>
      </c>
      <c r="B33" s="21">
        <f>MASTER!B32</f>
        <v/>
      </c>
      <c r="C33" s="20">
        <f>MASTER!C32</f>
        <v/>
      </c>
      <c r="D33" s="21">
        <f>MASTER!D32</f>
        <v/>
      </c>
      <c r="E33" s="21">
        <f>MASTER!E32</f>
        <v/>
      </c>
      <c r="F33" s="21">
        <f>MASTER!F32</f>
        <v/>
      </c>
      <c r="G33" s="20">
        <f>MASTER!G32</f>
        <v/>
      </c>
      <c r="H33" s="20">
        <f>MASTER!H32</f>
        <v/>
      </c>
      <c r="I33" s="20">
        <f>MASTER!I32</f>
        <v/>
      </c>
      <c r="J33" s="20">
        <f>MASTER!J32</f>
        <v/>
      </c>
      <c r="K33" s="20">
        <f>MASTER!K32</f>
        <v/>
      </c>
      <c r="L33" s="21">
        <f>MASTER!L32</f>
        <v/>
      </c>
      <c r="M33" s="21">
        <f>MASTER!M32</f>
        <v/>
      </c>
      <c r="N33" s="21">
        <f>MASTER!N32</f>
        <v/>
      </c>
      <c r="O33" s="23">
        <f>MASTER!O32</f>
        <v/>
      </c>
      <c r="P33" s="21">
        <f>MASTER!P32</f>
        <v/>
      </c>
      <c r="Q33" s="21">
        <f>MASTER!Q32</f>
        <v/>
      </c>
    </row>
    <row r="34" ht="15" customHeight="1" s="14">
      <c r="A34" s="20">
        <f>MASTER!A33</f>
        <v/>
      </c>
      <c r="B34" s="21">
        <f>MASTER!B33</f>
        <v/>
      </c>
      <c r="C34" s="20">
        <f>MASTER!C33</f>
        <v/>
      </c>
      <c r="D34" s="21">
        <f>MASTER!D33</f>
        <v/>
      </c>
      <c r="E34" s="21">
        <f>MASTER!E33</f>
        <v/>
      </c>
      <c r="F34" s="21">
        <f>MASTER!F33</f>
        <v/>
      </c>
      <c r="G34" s="20">
        <f>MASTER!G33</f>
        <v/>
      </c>
      <c r="H34" s="20">
        <f>MASTER!H33</f>
        <v/>
      </c>
      <c r="I34" s="20">
        <f>MASTER!I33</f>
        <v/>
      </c>
      <c r="J34" s="20">
        <f>MASTER!J33</f>
        <v/>
      </c>
      <c r="K34" s="20">
        <f>MASTER!K33</f>
        <v/>
      </c>
      <c r="L34" s="21">
        <f>MASTER!L33</f>
        <v/>
      </c>
      <c r="M34" s="21">
        <f>MASTER!M33</f>
        <v/>
      </c>
      <c r="N34" s="21">
        <f>MASTER!N33</f>
        <v/>
      </c>
      <c r="O34" s="23">
        <f>MASTER!O33</f>
        <v/>
      </c>
      <c r="P34" s="21">
        <f>MASTER!P33</f>
        <v/>
      </c>
      <c r="Q34" s="21">
        <f>MASTER!Q33</f>
        <v/>
      </c>
    </row>
    <row r="35" ht="35.05" customHeight="1" s="14">
      <c r="A35" s="20">
        <f>MASTER!A34</f>
        <v/>
      </c>
      <c r="B35" s="21">
        <f>MASTER!B34</f>
        <v/>
      </c>
      <c r="C35" s="20">
        <f>MASTER!C34</f>
        <v/>
      </c>
      <c r="D35" s="21">
        <f>MASTER!D34</f>
        <v/>
      </c>
      <c r="E35" s="21">
        <f>MASTER!E34</f>
        <v/>
      </c>
      <c r="F35" s="21">
        <f>MASTER!F34</f>
        <v/>
      </c>
      <c r="G35" s="20">
        <f>MASTER!G34</f>
        <v/>
      </c>
      <c r="H35" s="20">
        <f>MASTER!H34</f>
        <v/>
      </c>
      <c r="I35" s="20">
        <f>MASTER!I34</f>
        <v/>
      </c>
      <c r="J35" s="20">
        <f>MASTER!J34</f>
        <v/>
      </c>
      <c r="K35" s="20">
        <f>MASTER!K34</f>
        <v/>
      </c>
      <c r="L35" s="21">
        <f>MASTER!L34</f>
        <v/>
      </c>
      <c r="M35" s="21">
        <f>MASTER!M34</f>
        <v/>
      </c>
      <c r="N35" s="21">
        <f>MASTER!N34</f>
        <v/>
      </c>
      <c r="O35" s="23">
        <f>MASTER!O34</f>
        <v/>
      </c>
      <c r="P35" s="21">
        <f>MASTER!P34</f>
        <v/>
      </c>
      <c r="Q35" s="21">
        <f>MASTER!Q34</f>
        <v/>
      </c>
    </row>
    <row r="36" ht="35.05" customHeight="1" s="14">
      <c r="A36" s="20">
        <f>MASTER!A35</f>
        <v/>
      </c>
      <c r="B36" s="21">
        <f>MASTER!B35</f>
        <v/>
      </c>
      <c r="C36" s="20">
        <f>MASTER!C35</f>
        <v/>
      </c>
      <c r="D36" s="21">
        <f>MASTER!D35</f>
        <v/>
      </c>
      <c r="E36" s="21">
        <f>MASTER!E35</f>
        <v/>
      </c>
      <c r="F36" s="21">
        <f>MASTER!F35</f>
        <v/>
      </c>
      <c r="G36" s="20">
        <f>MASTER!G35</f>
        <v/>
      </c>
      <c r="H36" s="20">
        <f>MASTER!H35</f>
        <v/>
      </c>
      <c r="I36" s="20">
        <f>MASTER!I35</f>
        <v/>
      </c>
      <c r="J36" s="20">
        <f>MASTER!J35</f>
        <v/>
      </c>
      <c r="K36" s="20">
        <f>MASTER!K35</f>
        <v/>
      </c>
      <c r="L36" s="21">
        <f>MASTER!L35</f>
        <v/>
      </c>
      <c r="M36" s="21">
        <f>MASTER!M35</f>
        <v/>
      </c>
      <c r="N36" s="21">
        <f>MASTER!N35</f>
        <v/>
      </c>
      <c r="O36" s="23">
        <f>MASTER!O35</f>
        <v/>
      </c>
      <c r="P36" s="21">
        <f>MASTER!P35</f>
        <v/>
      </c>
      <c r="Q36" s="21">
        <f>MASTER!Q35</f>
        <v/>
      </c>
    </row>
    <row r="37" ht="35.05" customHeight="1" s="14">
      <c r="A37" s="20">
        <f>MASTER!A36</f>
        <v/>
      </c>
      <c r="B37" s="21">
        <f>MASTER!B36</f>
        <v/>
      </c>
      <c r="C37" s="20">
        <f>MASTER!C36</f>
        <v/>
      </c>
      <c r="D37" s="21">
        <f>MASTER!D36</f>
        <v/>
      </c>
      <c r="E37" s="21">
        <f>MASTER!E36</f>
        <v/>
      </c>
      <c r="F37" s="21">
        <f>MASTER!F36</f>
        <v/>
      </c>
      <c r="G37" s="20">
        <f>MASTER!G36</f>
        <v/>
      </c>
      <c r="H37" s="20">
        <f>MASTER!H36</f>
        <v/>
      </c>
      <c r="I37" s="20">
        <f>MASTER!I36</f>
        <v/>
      </c>
      <c r="J37" s="20">
        <f>MASTER!J36</f>
        <v/>
      </c>
      <c r="K37" s="20">
        <f>MASTER!K36</f>
        <v/>
      </c>
      <c r="L37" s="21">
        <f>MASTER!L36</f>
        <v/>
      </c>
      <c r="M37" s="21">
        <f>MASTER!M36</f>
        <v/>
      </c>
      <c r="N37" s="21">
        <f>MASTER!N36</f>
        <v/>
      </c>
      <c r="O37" s="23">
        <f>MASTER!O36</f>
        <v/>
      </c>
      <c r="P37" s="21">
        <f>MASTER!P36</f>
        <v/>
      </c>
      <c r="Q37" s="21">
        <f>MASTER!Q36</f>
        <v/>
      </c>
    </row>
    <row r="38" ht="23.85" customHeight="1" s="14">
      <c r="A38" s="20">
        <f>MASTER!A37</f>
        <v/>
      </c>
      <c r="B38" s="21">
        <f>MASTER!B37</f>
        <v/>
      </c>
      <c r="C38" s="20">
        <f>MASTER!C37</f>
        <v/>
      </c>
      <c r="D38" s="21">
        <f>MASTER!D37</f>
        <v/>
      </c>
      <c r="E38" s="21">
        <f>MASTER!E37</f>
        <v/>
      </c>
      <c r="F38" s="21">
        <f>MASTER!F37</f>
        <v/>
      </c>
      <c r="G38" s="20">
        <f>MASTER!G37</f>
        <v/>
      </c>
      <c r="H38" s="20">
        <f>MASTER!H37</f>
        <v/>
      </c>
      <c r="I38" s="20">
        <f>MASTER!I37</f>
        <v/>
      </c>
      <c r="J38" s="20">
        <f>MASTER!J37</f>
        <v/>
      </c>
      <c r="K38" s="20">
        <f>MASTER!K37</f>
        <v/>
      </c>
      <c r="L38" s="21">
        <f>MASTER!L37</f>
        <v/>
      </c>
      <c r="M38" s="21">
        <f>MASTER!M37</f>
        <v/>
      </c>
      <c r="N38" s="21">
        <f>MASTER!N37</f>
        <v/>
      </c>
      <c r="O38" s="23">
        <f>MASTER!O37</f>
        <v/>
      </c>
      <c r="P38" s="21">
        <f>MASTER!P37</f>
        <v/>
      </c>
      <c r="Q38" s="21">
        <f>MASTER!Q37</f>
        <v/>
      </c>
    </row>
    <row r="39" ht="23.85" customHeight="1" s="14">
      <c r="A39" s="20">
        <f>MASTER!A38</f>
        <v/>
      </c>
      <c r="B39" s="21">
        <f>MASTER!B38</f>
        <v/>
      </c>
      <c r="C39" s="20">
        <f>MASTER!C38</f>
        <v/>
      </c>
      <c r="D39" s="21">
        <f>MASTER!D38</f>
        <v/>
      </c>
      <c r="E39" s="21">
        <f>MASTER!E38</f>
        <v/>
      </c>
      <c r="F39" s="21">
        <f>MASTER!F38</f>
        <v/>
      </c>
      <c r="G39" s="20">
        <f>MASTER!G38</f>
        <v/>
      </c>
      <c r="H39" s="20">
        <f>MASTER!H38</f>
        <v/>
      </c>
      <c r="I39" s="20">
        <f>MASTER!I38</f>
        <v/>
      </c>
      <c r="J39" s="20">
        <f>MASTER!J38</f>
        <v/>
      </c>
      <c r="K39" s="20">
        <f>MASTER!K38</f>
        <v/>
      </c>
      <c r="L39" s="21">
        <f>MASTER!L38</f>
        <v/>
      </c>
      <c r="M39" s="21">
        <f>MASTER!M38</f>
        <v/>
      </c>
      <c r="N39" s="21">
        <f>MASTER!N38</f>
        <v/>
      </c>
      <c r="O39" s="23">
        <f>MASTER!O38</f>
        <v/>
      </c>
      <c r="P39" s="21">
        <f>MASTER!P38</f>
        <v/>
      </c>
      <c r="Q39" s="21">
        <f>MASTER!Q38</f>
        <v/>
      </c>
    </row>
    <row r="40" ht="46.25" customHeight="1" s="14">
      <c r="A40" s="20">
        <f>MASTER!A39</f>
        <v/>
      </c>
      <c r="B40" s="21">
        <f>MASTER!B39</f>
        <v/>
      </c>
      <c r="C40" s="20">
        <f>MASTER!C39</f>
        <v/>
      </c>
      <c r="D40" s="21">
        <f>MASTER!D39</f>
        <v/>
      </c>
      <c r="E40" s="21">
        <f>MASTER!E39</f>
        <v/>
      </c>
      <c r="F40" s="21">
        <f>MASTER!F39</f>
        <v/>
      </c>
      <c r="G40" s="20">
        <f>MASTER!G39</f>
        <v/>
      </c>
      <c r="H40" s="20">
        <f>MASTER!H39</f>
        <v/>
      </c>
      <c r="I40" s="20">
        <f>MASTER!I39</f>
        <v/>
      </c>
      <c r="J40" s="20">
        <f>MASTER!J39</f>
        <v/>
      </c>
      <c r="K40" s="20">
        <f>MASTER!K39</f>
        <v/>
      </c>
      <c r="L40" s="21">
        <f>MASTER!L39</f>
        <v/>
      </c>
      <c r="M40" s="21">
        <f>MASTER!M39</f>
        <v/>
      </c>
      <c r="N40" s="21">
        <f>MASTER!N39</f>
        <v/>
      </c>
      <c r="O40" s="23">
        <f>MASTER!O39</f>
        <v/>
      </c>
      <c r="P40" s="21">
        <f>MASTER!P39</f>
        <v/>
      </c>
      <c r="Q40" s="21">
        <f>MASTER!Q39</f>
        <v/>
      </c>
    </row>
    <row r="41" ht="23.85" customHeight="1" s="14">
      <c r="A41" s="20">
        <f>MASTER!A40</f>
        <v/>
      </c>
      <c r="B41" s="21">
        <f>MASTER!B40</f>
        <v/>
      </c>
      <c r="C41" s="20">
        <f>MASTER!C40</f>
        <v/>
      </c>
      <c r="D41" s="21">
        <f>MASTER!D40</f>
        <v/>
      </c>
      <c r="E41" s="21">
        <f>MASTER!E40</f>
        <v/>
      </c>
      <c r="F41" s="21">
        <f>MASTER!F40</f>
        <v/>
      </c>
      <c r="G41" s="20">
        <f>MASTER!G40</f>
        <v/>
      </c>
      <c r="H41" s="20">
        <f>MASTER!H40</f>
        <v/>
      </c>
      <c r="I41" s="20">
        <f>MASTER!I40</f>
        <v/>
      </c>
      <c r="J41" s="20">
        <f>MASTER!J40</f>
        <v/>
      </c>
      <c r="K41" s="20">
        <f>MASTER!K40</f>
        <v/>
      </c>
      <c r="L41" s="21">
        <f>MASTER!L40</f>
        <v/>
      </c>
      <c r="M41" s="21">
        <f>MASTER!M40</f>
        <v/>
      </c>
      <c r="N41" s="21">
        <f>MASTER!N40</f>
        <v/>
      </c>
      <c r="O41" s="23">
        <f>MASTER!O40</f>
        <v/>
      </c>
      <c r="P41" s="21">
        <f>MASTER!P40</f>
        <v/>
      </c>
      <c r="Q41" s="21">
        <f>MASTER!Q40</f>
        <v/>
      </c>
    </row>
    <row r="42" ht="23.85" customHeight="1" s="14">
      <c r="A42" s="20">
        <f>MASTER!A41</f>
        <v/>
      </c>
      <c r="B42" s="21">
        <f>MASTER!B41</f>
        <v/>
      </c>
      <c r="C42" s="20">
        <f>MASTER!C41</f>
        <v/>
      </c>
      <c r="D42" s="21">
        <f>MASTER!D41</f>
        <v/>
      </c>
      <c r="E42" s="21">
        <f>MASTER!E41</f>
        <v/>
      </c>
      <c r="F42" s="21">
        <f>MASTER!F41</f>
        <v/>
      </c>
      <c r="G42" s="20">
        <f>MASTER!G41</f>
        <v/>
      </c>
      <c r="H42" s="20">
        <f>MASTER!H41</f>
        <v/>
      </c>
      <c r="I42" s="20">
        <f>MASTER!I41</f>
        <v/>
      </c>
      <c r="J42" s="20">
        <f>MASTER!J41</f>
        <v/>
      </c>
      <c r="K42" s="20">
        <f>MASTER!K41</f>
        <v/>
      </c>
      <c r="L42" s="21">
        <f>MASTER!L41</f>
        <v/>
      </c>
      <c r="M42" s="21">
        <f>MASTER!M41</f>
        <v/>
      </c>
      <c r="N42" s="21">
        <f>MASTER!N41</f>
        <v/>
      </c>
      <c r="O42" s="23">
        <f>MASTER!O41</f>
        <v/>
      </c>
      <c r="P42" s="21">
        <f>MASTER!P41</f>
        <v/>
      </c>
      <c r="Q42" s="21">
        <f>MASTER!Q41</f>
        <v/>
      </c>
    </row>
    <row r="43" ht="23.85" customHeight="1" s="14">
      <c r="A43" s="20">
        <f>MASTER!A42</f>
        <v/>
      </c>
      <c r="B43" s="21">
        <f>MASTER!B42</f>
        <v/>
      </c>
      <c r="C43" s="20">
        <f>MASTER!C42</f>
        <v/>
      </c>
      <c r="D43" s="21">
        <f>MASTER!D42</f>
        <v/>
      </c>
      <c r="E43" s="21">
        <f>MASTER!E42</f>
        <v/>
      </c>
      <c r="F43" s="21">
        <f>MASTER!F42</f>
        <v/>
      </c>
      <c r="G43" s="20">
        <f>MASTER!G42</f>
        <v/>
      </c>
      <c r="H43" s="20">
        <f>MASTER!H42</f>
        <v/>
      </c>
      <c r="I43" s="20">
        <f>MASTER!I42</f>
        <v/>
      </c>
      <c r="J43" s="20">
        <f>MASTER!J42</f>
        <v/>
      </c>
      <c r="K43" s="20">
        <f>MASTER!K42</f>
        <v/>
      </c>
      <c r="L43" s="21">
        <f>MASTER!L42</f>
        <v/>
      </c>
      <c r="M43" s="21">
        <f>MASTER!M42</f>
        <v/>
      </c>
      <c r="N43" s="21">
        <f>MASTER!N42</f>
        <v/>
      </c>
      <c r="O43" s="23">
        <f>MASTER!O42</f>
        <v/>
      </c>
      <c r="P43" s="21">
        <f>MASTER!P42</f>
        <v/>
      </c>
      <c r="Q43" s="21">
        <f>MASTER!Q42</f>
        <v/>
      </c>
    </row>
    <row r="44" ht="23.85" customHeight="1" s="14">
      <c r="A44" s="20">
        <f>MASTER!A43</f>
        <v/>
      </c>
      <c r="B44" s="21">
        <f>MASTER!B43</f>
        <v/>
      </c>
      <c r="C44" s="20">
        <f>MASTER!C43</f>
        <v/>
      </c>
      <c r="D44" s="21">
        <f>MASTER!D43</f>
        <v/>
      </c>
      <c r="E44" s="21">
        <f>MASTER!E43</f>
        <v/>
      </c>
      <c r="F44" s="21">
        <f>MASTER!F43</f>
        <v/>
      </c>
      <c r="G44" s="20">
        <f>MASTER!G43</f>
        <v/>
      </c>
      <c r="H44" s="20">
        <f>MASTER!H43</f>
        <v/>
      </c>
      <c r="I44" s="20">
        <f>MASTER!I43</f>
        <v/>
      </c>
      <c r="J44" s="20">
        <f>MASTER!J43</f>
        <v/>
      </c>
      <c r="K44" s="20">
        <f>MASTER!K43</f>
        <v/>
      </c>
      <c r="L44" s="21">
        <f>MASTER!L43</f>
        <v/>
      </c>
      <c r="M44" s="21">
        <f>MASTER!M43</f>
        <v/>
      </c>
      <c r="N44" s="21">
        <f>MASTER!N43</f>
        <v/>
      </c>
      <c r="O44" s="23">
        <f>MASTER!O43</f>
        <v/>
      </c>
      <c r="P44" s="21">
        <f>MASTER!P43</f>
        <v/>
      </c>
      <c r="Q44" s="21">
        <f>MASTER!Q43</f>
        <v/>
      </c>
    </row>
    <row r="45" ht="15" customHeight="1" s="14">
      <c r="A45" s="20">
        <f>MASTER!A44</f>
        <v/>
      </c>
      <c r="B45" s="21">
        <f>MASTER!B44</f>
        <v/>
      </c>
      <c r="C45" s="20">
        <f>MASTER!C44</f>
        <v/>
      </c>
      <c r="D45" s="21">
        <f>MASTER!D44</f>
        <v/>
      </c>
      <c r="E45" s="21">
        <f>MASTER!E44</f>
        <v/>
      </c>
      <c r="F45" s="21">
        <f>MASTER!F44</f>
        <v/>
      </c>
      <c r="G45" s="20">
        <f>MASTER!G44</f>
        <v/>
      </c>
      <c r="H45" s="20">
        <f>MASTER!H44</f>
        <v/>
      </c>
      <c r="I45" s="20">
        <f>MASTER!I44</f>
        <v/>
      </c>
      <c r="J45" s="20">
        <f>MASTER!J44</f>
        <v/>
      </c>
      <c r="K45" s="20">
        <f>MASTER!K44</f>
        <v/>
      </c>
      <c r="L45" s="21">
        <f>MASTER!L44</f>
        <v/>
      </c>
      <c r="M45" s="21">
        <f>MASTER!M44</f>
        <v/>
      </c>
      <c r="N45" s="21">
        <f>MASTER!N44</f>
        <v/>
      </c>
      <c r="O45" s="23">
        <f>MASTER!O44</f>
        <v/>
      </c>
      <c r="P45" s="21">
        <f>MASTER!P44</f>
        <v/>
      </c>
      <c r="Q45" s="21">
        <f>MASTER!Q44</f>
        <v/>
      </c>
    </row>
    <row r="46" ht="23.85" customHeight="1" s="14">
      <c r="A46" s="20">
        <f>MASTER!A45</f>
        <v/>
      </c>
      <c r="B46" s="21">
        <f>MASTER!B45</f>
        <v/>
      </c>
      <c r="C46" s="20">
        <f>MASTER!C45</f>
        <v/>
      </c>
      <c r="D46" s="21">
        <f>MASTER!D45</f>
        <v/>
      </c>
      <c r="E46" s="21">
        <f>MASTER!E45</f>
        <v/>
      </c>
      <c r="F46" s="21">
        <f>MASTER!F45</f>
        <v/>
      </c>
      <c r="G46" s="20">
        <f>MASTER!G45</f>
        <v/>
      </c>
      <c r="H46" s="20">
        <f>MASTER!H45</f>
        <v/>
      </c>
      <c r="I46" s="20">
        <f>MASTER!I45</f>
        <v/>
      </c>
      <c r="J46" s="20">
        <f>MASTER!J45</f>
        <v/>
      </c>
      <c r="K46" s="20">
        <f>MASTER!K45</f>
        <v/>
      </c>
      <c r="L46" s="21">
        <f>MASTER!L45</f>
        <v/>
      </c>
      <c r="M46" s="21">
        <f>MASTER!M45</f>
        <v/>
      </c>
      <c r="N46" s="21">
        <f>MASTER!N45</f>
        <v/>
      </c>
      <c r="O46" s="23">
        <f>MASTER!O45</f>
        <v/>
      </c>
      <c r="P46" s="21">
        <f>MASTER!P45</f>
        <v/>
      </c>
      <c r="Q46" s="21">
        <f>MASTER!Q45</f>
        <v/>
      </c>
    </row>
    <row r="47" ht="23.85" customHeight="1" s="14">
      <c r="A47" s="20">
        <f>MASTER!A46</f>
        <v/>
      </c>
      <c r="B47" s="21">
        <f>MASTER!B46</f>
        <v/>
      </c>
      <c r="C47" s="20">
        <f>MASTER!C46</f>
        <v/>
      </c>
      <c r="D47" s="21">
        <f>MASTER!D46</f>
        <v/>
      </c>
      <c r="E47" s="21">
        <f>MASTER!E46</f>
        <v/>
      </c>
      <c r="F47" s="21">
        <f>MASTER!F46</f>
        <v/>
      </c>
      <c r="G47" s="20">
        <f>MASTER!G46</f>
        <v/>
      </c>
      <c r="H47" s="20">
        <f>MASTER!H46</f>
        <v/>
      </c>
      <c r="I47" s="20">
        <f>MASTER!I46</f>
        <v/>
      </c>
      <c r="J47" s="20">
        <f>MASTER!J46</f>
        <v/>
      </c>
      <c r="K47" s="20">
        <f>MASTER!K46</f>
        <v/>
      </c>
      <c r="L47" s="21">
        <f>MASTER!L46</f>
        <v/>
      </c>
      <c r="M47" s="21">
        <f>MASTER!M46</f>
        <v/>
      </c>
      <c r="N47" s="21">
        <f>MASTER!N46</f>
        <v/>
      </c>
      <c r="O47" s="23">
        <f>MASTER!O46</f>
        <v/>
      </c>
      <c r="P47" s="21">
        <f>MASTER!P46</f>
        <v/>
      </c>
      <c r="Q47" s="21">
        <f>MASTER!Q46</f>
        <v/>
      </c>
    </row>
    <row r="48" ht="23.85" customHeight="1" s="14">
      <c r="A48" s="20">
        <f>MASTER!A47</f>
        <v/>
      </c>
      <c r="B48" s="21">
        <f>MASTER!B47</f>
        <v/>
      </c>
      <c r="C48" s="20">
        <f>MASTER!C47</f>
        <v/>
      </c>
      <c r="D48" s="21">
        <f>MASTER!D47</f>
        <v/>
      </c>
      <c r="E48" s="21">
        <f>MASTER!E47</f>
        <v/>
      </c>
      <c r="F48" s="21">
        <f>MASTER!F47</f>
        <v/>
      </c>
      <c r="G48" s="20">
        <f>MASTER!G47</f>
        <v/>
      </c>
      <c r="H48" s="20">
        <f>MASTER!H47</f>
        <v/>
      </c>
      <c r="I48" s="20">
        <f>MASTER!I47</f>
        <v/>
      </c>
      <c r="J48" s="20">
        <f>MASTER!J47</f>
        <v/>
      </c>
      <c r="K48" s="20">
        <f>MASTER!K47</f>
        <v/>
      </c>
      <c r="L48" s="21">
        <f>MASTER!L47</f>
        <v/>
      </c>
      <c r="M48" s="21">
        <f>MASTER!M47</f>
        <v/>
      </c>
      <c r="N48" s="21">
        <f>MASTER!N47</f>
        <v/>
      </c>
      <c r="O48" s="23">
        <f>MASTER!O47</f>
        <v/>
      </c>
      <c r="P48" s="21">
        <f>MASTER!P47</f>
        <v/>
      </c>
      <c r="Q48" s="21">
        <f>MASTER!Q47</f>
        <v/>
      </c>
    </row>
    <row r="49" ht="23.85" customHeight="1" s="14">
      <c r="A49" s="20">
        <f>MASTER!A48</f>
        <v/>
      </c>
      <c r="B49" s="21">
        <f>MASTER!B48</f>
        <v/>
      </c>
      <c r="C49" s="20">
        <f>MASTER!C48</f>
        <v/>
      </c>
      <c r="D49" s="21">
        <f>MASTER!D48</f>
        <v/>
      </c>
      <c r="E49" s="21">
        <f>MASTER!E48</f>
        <v/>
      </c>
      <c r="F49" s="21">
        <f>MASTER!F48</f>
        <v/>
      </c>
      <c r="G49" s="20">
        <f>MASTER!G48</f>
        <v/>
      </c>
      <c r="H49" s="20">
        <f>MASTER!H48</f>
        <v/>
      </c>
      <c r="I49" s="20">
        <f>MASTER!I48</f>
        <v/>
      </c>
      <c r="J49" s="20">
        <f>MASTER!J48</f>
        <v/>
      </c>
      <c r="K49" s="20">
        <f>MASTER!K48</f>
        <v/>
      </c>
      <c r="L49" s="21">
        <f>MASTER!L48</f>
        <v/>
      </c>
      <c r="M49" s="21">
        <f>MASTER!M48</f>
        <v/>
      </c>
      <c r="N49" s="21">
        <f>MASTER!N48</f>
        <v/>
      </c>
      <c r="O49" s="23">
        <f>MASTER!O48</f>
        <v/>
      </c>
      <c r="P49" s="21">
        <f>MASTER!P48</f>
        <v/>
      </c>
      <c r="Q49" s="21">
        <f>MASTER!Q48</f>
        <v/>
      </c>
    </row>
    <row r="50" ht="15" customHeight="1" s="14">
      <c r="A50" s="20">
        <f>MASTER!A49</f>
        <v/>
      </c>
      <c r="B50" s="21">
        <f>MASTER!B49</f>
        <v/>
      </c>
      <c r="C50" s="20">
        <f>MASTER!C49</f>
        <v/>
      </c>
      <c r="D50" s="21">
        <f>MASTER!D49</f>
        <v/>
      </c>
      <c r="E50" s="21">
        <f>MASTER!E49</f>
        <v/>
      </c>
      <c r="F50" s="21">
        <f>MASTER!F49</f>
        <v/>
      </c>
      <c r="G50" s="20">
        <f>MASTER!G49</f>
        <v/>
      </c>
      <c r="H50" s="20">
        <f>MASTER!H49</f>
        <v/>
      </c>
      <c r="I50" s="20">
        <f>MASTER!I49</f>
        <v/>
      </c>
      <c r="J50" s="20">
        <f>MASTER!J49</f>
        <v/>
      </c>
      <c r="K50" s="20">
        <f>MASTER!K49</f>
        <v/>
      </c>
      <c r="L50" s="21">
        <f>MASTER!L49</f>
        <v/>
      </c>
      <c r="M50" s="21">
        <f>MASTER!M49</f>
        <v/>
      </c>
      <c r="N50" s="21">
        <f>MASTER!N49</f>
        <v/>
      </c>
      <c r="O50" s="23">
        <f>MASTER!O49</f>
        <v/>
      </c>
      <c r="P50" s="21">
        <f>MASTER!P49</f>
        <v/>
      </c>
      <c r="Q50" s="21">
        <f>MASTER!Q49</f>
        <v/>
      </c>
    </row>
    <row r="51" ht="15" customHeight="1" s="14">
      <c r="A51" s="20">
        <f>MASTER!A50</f>
        <v/>
      </c>
      <c r="B51" s="21">
        <f>MASTER!B50</f>
        <v/>
      </c>
      <c r="C51" s="20">
        <f>MASTER!C50</f>
        <v/>
      </c>
      <c r="D51" s="21">
        <f>MASTER!D50</f>
        <v/>
      </c>
      <c r="E51" s="21">
        <f>MASTER!E50</f>
        <v/>
      </c>
      <c r="F51" s="21">
        <f>MASTER!F50</f>
        <v/>
      </c>
      <c r="G51" s="20">
        <f>MASTER!G50</f>
        <v/>
      </c>
      <c r="H51" s="20">
        <f>MASTER!H50</f>
        <v/>
      </c>
      <c r="I51" s="20">
        <f>MASTER!I50</f>
        <v/>
      </c>
      <c r="J51" s="20">
        <f>MASTER!J50</f>
        <v/>
      </c>
      <c r="K51" s="20">
        <f>MASTER!K50</f>
        <v/>
      </c>
      <c r="L51" s="21">
        <f>MASTER!L50</f>
        <v/>
      </c>
      <c r="M51" s="21">
        <f>MASTER!M50</f>
        <v/>
      </c>
      <c r="N51" s="21">
        <f>MASTER!N50</f>
        <v/>
      </c>
      <c r="O51" s="23">
        <f>MASTER!O50</f>
        <v/>
      </c>
      <c r="P51" s="21">
        <f>MASTER!P50</f>
        <v/>
      </c>
      <c r="Q51" s="21">
        <f>MASTER!Q50</f>
        <v/>
      </c>
    </row>
    <row r="52" ht="15" customHeight="1" s="14">
      <c r="A52" s="20">
        <f>MASTER!A51</f>
        <v/>
      </c>
      <c r="B52" s="21">
        <f>MASTER!B51</f>
        <v/>
      </c>
      <c r="C52" s="20">
        <f>MASTER!C51</f>
        <v/>
      </c>
      <c r="D52" s="21">
        <f>MASTER!D51</f>
        <v/>
      </c>
      <c r="E52" s="21">
        <f>MASTER!E51</f>
        <v/>
      </c>
      <c r="F52" s="21">
        <f>MASTER!F51</f>
        <v/>
      </c>
      <c r="G52" s="20">
        <f>MASTER!G51</f>
        <v/>
      </c>
      <c r="H52" s="20">
        <f>MASTER!H51</f>
        <v/>
      </c>
      <c r="I52" s="20">
        <f>MASTER!I51</f>
        <v/>
      </c>
      <c r="J52" s="20">
        <f>MASTER!J51</f>
        <v/>
      </c>
      <c r="K52" s="20">
        <f>MASTER!K51</f>
        <v/>
      </c>
      <c r="L52" s="21">
        <f>MASTER!L51</f>
        <v/>
      </c>
      <c r="M52" s="21">
        <f>MASTER!M51</f>
        <v/>
      </c>
      <c r="N52" s="21">
        <f>MASTER!N51</f>
        <v/>
      </c>
      <c r="O52" s="23">
        <f>MASTER!O51</f>
        <v/>
      </c>
      <c r="P52" s="21">
        <f>MASTER!P51</f>
        <v/>
      </c>
      <c r="Q52" s="21">
        <f>MASTER!Q51</f>
        <v/>
      </c>
    </row>
    <row r="53" ht="15" customHeight="1" s="14">
      <c r="A53" s="20">
        <f>MASTER!A52</f>
        <v/>
      </c>
      <c r="B53" s="21">
        <f>MASTER!B52</f>
        <v/>
      </c>
      <c r="C53" s="20">
        <f>MASTER!C52</f>
        <v/>
      </c>
      <c r="D53" s="21">
        <f>MASTER!D52</f>
        <v/>
      </c>
      <c r="E53" s="21">
        <f>MASTER!E52</f>
        <v/>
      </c>
      <c r="F53" s="21">
        <f>MASTER!F52</f>
        <v/>
      </c>
      <c r="G53" s="20">
        <f>MASTER!G52</f>
        <v/>
      </c>
      <c r="H53" s="20">
        <f>MASTER!H52</f>
        <v/>
      </c>
      <c r="I53" s="20">
        <f>MASTER!I52</f>
        <v/>
      </c>
      <c r="J53" s="20">
        <f>MASTER!J52</f>
        <v/>
      </c>
      <c r="K53" s="20">
        <f>MASTER!K52</f>
        <v/>
      </c>
      <c r="L53" s="21">
        <f>MASTER!L52</f>
        <v/>
      </c>
      <c r="M53" s="21">
        <f>MASTER!M52</f>
        <v/>
      </c>
      <c r="N53" s="21">
        <f>MASTER!N52</f>
        <v/>
      </c>
      <c r="O53" s="23">
        <f>MASTER!O52</f>
        <v/>
      </c>
      <c r="P53" s="21">
        <f>MASTER!P52</f>
        <v/>
      </c>
      <c r="Q53" s="21">
        <f>MASTER!Q52</f>
        <v/>
      </c>
    </row>
    <row r="54" ht="23.85" customHeight="1" s="14">
      <c r="A54" s="20">
        <f>MASTER!A53</f>
        <v/>
      </c>
      <c r="B54" s="21">
        <f>MASTER!B53</f>
        <v/>
      </c>
      <c r="C54" s="20">
        <f>MASTER!C53</f>
        <v/>
      </c>
      <c r="D54" s="21">
        <f>MASTER!D53</f>
        <v/>
      </c>
      <c r="E54" s="21">
        <f>MASTER!E53</f>
        <v/>
      </c>
      <c r="F54" s="21">
        <f>MASTER!F53</f>
        <v/>
      </c>
      <c r="G54" s="20">
        <f>MASTER!G53</f>
        <v/>
      </c>
      <c r="H54" s="20">
        <f>MASTER!H53</f>
        <v/>
      </c>
      <c r="I54" s="20">
        <f>MASTER!I53</f>
        <v/>
      </c>
      <c r="J54" s="20">
        <f>MASTER!J53</f>
        <v/>
      </c>
      <c r="K54" s="20">
        <f>MASTER!K53</f>
        <v/>
      </c>
      <c r="L54" s="21">
        <f>MASTER!L53</f>
        <v/>
      </c>
      <c r="M54" s="21">
        <f>MASTER!M53</f>
        <v/>
      </c>
      <c r="N54" s="21">
        <f>MASTER!N53</f>
        <v/>
      </c>
      <c r="O54" s="23">
        <f>MASTER!O53</f>
        <v/>
      </c>
      <c r="P54" s="21">
        <f>MASTER!P53</f>
        <v/>
      </c>
      <c r="Q54" s="21">
        <f>MASTER!Q53</f>
        <v/>
      </c>
    </row>
    <row r="55" ht="15" customHeight="1" s="14">
      <c r="A55" s="20">
        <f>MASTER!A54</f>
        <v/>
      </c>
      <c r="B55" s="21">
        <f>MASTER!B54</f>
        <v/>
      </c>
      <c r="C55" s="20">
        <f>MASTER!C54</f>
        <v/>
      </c>
      <c r="D55" s="21">
        <f>MASTER!D54</f>
        <v/>
      </c>
      <c r="E55" s="21">
        <f>MASTER!E54</f>
        <v/>
      </c>
      <c r="F55" s="21">
        <f>MASTER!F54</f>
        <v/>
      </c>
      <c r="G55" s="20">
        <f>MASTER!G54</f>
        <v/>
      </c>
      <c r="H55" s="20">
        <f>MASTER!H54</f>
        <v/>
      </c>
      <c r="I55" s="20">
        <f>MASTER!I54</f>
        <v/>
      </c>
      <c r="J55" s="20">
        <f>MASTER!J54</f>
        <v/>
      </c>
      <c r="K55" s="20">
        <f>MASTER!K54</f>
        <v/>
      </c>
      <c r="L55" s="21">
        <f>MASTER!L54</f>
        <v/>
      </c>
      <c r="M55" s="21">
        <f>MASTER!M54</f>
        <v/>
      </c>
      <c r="N55" s="21">
        <f>MASTER!N54</f>
        <v/>
      </c>
      <c r="O55" s="23">
        <f>MASTER!O54</f>
        <v/>
      </c>
      <c r="P55" s="21">
        <f>MASTER!P54</f>
        <v/>
      </c>
      <c r="Q55" s="21">
        <f>MASTER!Q54</f>
        <v/>
      </c>
    </row>
    <row r="56" ht="46.25" customHeight="1" s="14">
      <c r="A56" s="20">
        <f>MASTER!A55</f>
        <v/>
      </c>
      <c r="B56" s="21">
        <f>MASTER!B55</f>
        <v/>
      </c>
      <c r="C56" s="20">
        <f>MASTER!C55</f>
        <v/>
      </c>
      <c r="D56" s="21">
        <f>MASTER!D55</f>
        <v/>
      </c>
      <c r="E56" s="21">
        <f>MASTER!E55</f>
        <v/>
      </c>
      <c r="F56" s="21">
        <f>MASTER!F55</f>
        <v/>
      </c>
      <c r="G56" s="20">
        <f>MASTER!G55</f>
        <v/>
      </c>
      <c r="H56" s="20">
        <f>MASTER!H55</f>
        <v/>
      </c>
      <c r="I56" s="20">
        <f>MASTER!I55</f>
        <v/>
      </c>
      <c r="J56" s="20">
        <f>MASTER!J55</f>
        <v/>
      </c>
      <c r="K56" s="20">
        <f>MASTER!K55</f>
        <v/>
      </c>
      <c r="L56" s="21">
        <f>MASTER!L55</f>
        <v/>
      </c>
      <c r="M56" s="21">
        <f>MASTER!M55</f>
        <v/>
      </c>
      <c r="N56" s="21">
        <f>MASTER!N55</f>
        <v/>
      </c>
      <c r="O56" s="23">
        <f>MASTER!O55</f>
        <v/>
      </c>
      <c r="P56" s="21">
        <f>MASTER!P55</f>
        <v/>
      </c>
      <c r="Q56" s="21">
        <f>MASTER!Q55</f>
        <v/>
      </c>
    </row>
    <row r="57" ht="23.85" customHeight="1" s="14">
      <c r="A57" s="20">
        <f>MASTER!A56</f>
        <v/>
      </c>
      <c r="B57" s="21">
        <f>MASTER!B56</f>
        <v/>
      </c>
      <c r="C57" s="20">
        <f>MASTER!C56</f>
        <v/>
      </c>
      <c r="D57" s="21">
        <f>MASTER!D56</f>
        <v/>
      </c>
      <c r="E57" s="21">
        <f>MASTER!E56</f>
        <v/>
      </c>
      <c r="F57" s="21">
        <f>MASTER!F56</f>
        <v/>
      </c>
      <c r="G57" s="20">
        <f>MASTER!G56</f>
        <v/>
      </c>
      <c r="H57" s="20">
        <f>MASTER!H56</f>
        <v/>
      </c>
      <c r="I57" s="20">
        <f>MASTER!I56</f>
        <v/>
      </c>
      <c r="J57" s="20">
        <f>MASTER!J56</f>
        <v/>
      </c>
      <c r="K57" s="20">
        <f>MASTER!K56</f>
        <v/>
      </c>
      <c r="L57" s="21">
        <f>MASTER!L56</f>
        <v/>
      </c>
      <c r="M57" s="21">
        <f>MASTER!M56</f>
        <v/>
      </c>
      <c r="N57" s="21">
        <f>MASTER!N56</f>
        <v/>
      </c>
      <c r="O57" s="23">
        <f>MASTER!O56</f>
        <v/>
      </c>
      <c r="P57" s="21">
        <f>MASTER!P56</f>
        <v/>
      </c>
      <c r="Q57" s="21">
        <f>MASTER!Q56</f>
        <v/>
      </c>
    </row>
    <row r="58" ht="15" customHeight="1" s="14">
      <c r="A58" s="20">
        <f>MASTER!A57</f>
        <v/>
      </c>
      <c r="B58" s="21">
        <f>MASTER!B57</f>
        <v/>
      </c>
      <c r="C58" s="20">
        <f>MASTER!C57</f>
        <v/>
      </c>
      <c r="D58" s="21">
        <f>MASTER!D57</f>
        <v/>
      </c>
      <c r="E58" s="21">
        <f>MASTER!E57</f>
        <v/>
      </c>
      <c r="F58" s="21">
        <f>MASTER!F57</f>
        <v/>
      </c>
      <c r="G58" s="20">
        <f>MASTER!G57</f>
        <v/>
      </c>
      <c r="H58" s="20">
        <f>MASTER!H57</f>
        <v/>
      </c>
      <c r="I58" s="20">
        <f>MASTER!I57</f>
        <v/>
      </c>
      <c r="J58" s="20">
        <f>MASTER!J57</f>
        <v/>
      </c>
      <c r="K58" s="20">
        <f>MASTER!K57</f>
        <v/>
      </c>
      <c r="L58" s="21">
        <f>MASTER!L57</f>
        <v/>
      </c>
      <c r="M58" s="21">
        <f>MASTER!M57</f>
        <v/>
      </c>
      <c r="N58" s="21">
        <f>MASTER!N57</f>
        <v/>
      </c>
      <c r="O58" s="23">
        <f>MASTER!O57</f>
        <v/>
      </c>
      <c r="P58" s="21">
        <f>MASTER!P57</f>
        <v/>
      </c>
      <c r="Q58" s="21">
        <f>MASTER!Q57</f>
        <v/>
      </c>
    </row>
    <row r="59" ht="23.85" customHeight="1" s="14">
      <c r="A59" s="20">
        <f>MASTER!A58</f>
        <v/>
      </c>
      <c r="B59" s="21">
        <f>MASTER!B58</f>
        <v/>
      </c>
      <c r="C59" s="20">
        <f>MASTER!C58</f>
        <v/>
      </c>
      <c r="D59" s="21">
        <f>MASTER!D58</f>
        <v/>
      </c>
      <c r="E59" s="21">
        <f>MASTER!E58</f>
        <v/>
      </c>
      <c r="F59" s="21">
        <f>MASTER!F58</f>
        <v/>
      </c>
      <c r="G59" s="20">
        <f>MASTER!G58</f>
        <v/>
      </c>
      <c r="H59" s="20">
        <f>MASTER!H58</f>
        <v/>
      </c>
      <c r="I59" s="20">
        <f>MASTER!I58</f>
        <v/>
      </c>
      <c r="J59" s="20">
        <f>MASTER!J58</f>
        <v/>
      </c>
      <c r="K59" s="20">
        <f>MASTER!K58</f>
        <v/>
      </c>
      <c r="L59" s="21">
        <f>MASTER!L58</f>
        <v/>
      </c>
      <c r="M59" s="21">
        <f>MASTER!M58</f>
        <v/>
      </c>
      <c r="N59" s="21">
        <f>MASTER!N58</f>
        <v/>
      </c>
      <c r="O59" s="23">
        <f>MASTER!O58</f>
        <v/>
      </c>
      <c r="P59" s="21">
        <f>MASTER!P58</f>
        <v/>
      </c>
      <c r="Q59" s="21">
        <f>MASTER!Q58</f>
        <v/>
      </c>
    </row>
    <row r="60" ht="35.05" customHeight="1" s="14">
      <c r="A60" s="20">
        <f>MASTER!A59</f>
        <v/>
      </c>
      <c r="B60" s="21">
        <f>MASTER!B59</f>
        <v/>
      </c>
      <c r="C60" s="20">
        <f>MASTER!C59</f>
        <v/>
      </c>
      <c r="D60" s="21">
        <f>MASTER!D59</f>
        <v/>
      </c>
      <c r="E60" s="21">
        <f>MASTER!E59</f>
        <v/>
      </c>
      <c r="F60" s="21">
        <f>MASTER!F59</f>
        <v/>
      </c>
      <c r="G60" s="20">
        <f>MASTER!G59</f>
        <v/>
      </c>
      <c r="H60" s="20">
        <f>MASTER!H59</f>
        <v/>
      </c>
      <c r="I60" s="20">
        <f>MASTER!I59</f>
        <v/>
      </c>
      <c r="J60" s="20">
        <f>MASTER!J59</f>
        <v/>
      </c>
      <c r="K60" s="20">
        <f>MASTER!K59</f>
        <v/>
      </c>
      <c r="L60" s="21">
        <f>MASTER!L59</f>
        <v/>
      </c>
      <c r="M60" s="21">
        <f>MASTER!M59</f>
        <v/>
      </c>
      <c r="N60" s="21">
        <f>MASTER!N59</f>
        <v/>
      </c>
      <c r="O60" s="23">
        <f>MASTER!O59</f>
        <v/>
      </c>
      <c r="P60" s="21">
        <f>MASTER!P59</f>
        <v/>
      </c>
      <c r="Q60" s="21">
        <f>MASTER!Q59</f>
        <v/>
      </c>
    </row>
    <row r="61" ht="35.05" customHeight="1" s="14">
      <c r="A61" s="20">
        <f>MASTER!A60</f>
        <v/>
      </c>
      <c r="B61" s="21">
        <f>MASTER!B60</f>
        <v/>
      </c>
      <c r="C61" s="20">
        <f>MASTER!C60</f>
        <v/>
      </c>
      <c r="D61" s="21">
        <f>MASTER!D60</f>
        <v/>
      </c>
      <c r="E61" s="21">
        <f>MASTER!E60</f>
        <v/>
      </c>
      <c r="F61" s="21">
        <f>MASTER!F60</f>
        <v/>
      </c>
      <c r="G61" s="20">
        <f>MASTER!G60</f>
        <v/>
      </c>
      <c r="H61" s="20">
        <f>MASTER!H60</f>
        <v/>
      </c>
      <c r="I61" s="20">
        <f>MASTER!I60</f>
        <v/>
      </c>
      <c r="J61" s="20">
        <f>MASTER!J60</f>
        <v/>
      </c>
      <c r="K61" s="20">
        <f>MASTER!K60</f>
        <v/>
      </c>
      <c r="L61" s="21">
        <f>MASTER!L60</f>
        <v/>
      </c>
      <c r="M61" s="21">
        <f>MASTER!M60</f>
        <v/>
      </c>
      <c r="N61" s="21">
        <f>MASTER!N60</f>
        <v/>
      </c>
      <c r="O61" s="23">
        <f>MASTER!O60</f>
        <v/>
      </c>
      <c r="P61" s="21">
        <f>MASTER!P60</f>
        <v/>
      </c>
      <c r="Q61" s="21">
        <f>MASTER!Q60</f>
        <v/>
      </c>
    </row>
    <row r="62" ht="35.05" customHeight="1" s="14">
      <c r="A62" s="20">
        <f>MASTER!A61</f>
        <v/>
      </c>
      <c r="B62" s="21">
        <f>MASTER!B61</f>
        <v/>
      </c>
      <c r="C62" s="20">
        <f>MASTER!C61</f>
        <v/>
      </c>
      <c r="D62" s="21">
        <f>MASTER!D61</f>
        <v/>
      </c>
      <c r="E62" s="21">
        <f>MASTER!E61</f>
        <v/>
      </c>
      <c r="F62" s="21">
        <f>MASTER!F61</f>
        <v/>
      </c>
      <c r="G62" s="20">
        <f>MASTER!G61</f>
        <v/>
      </c>
      <c r="H62" s="20">
        <f>MASTER!H61</f>
        <v/>
      </c>
      <c r="I62" s="20">
        <f>MASTER!I61</f>
        <v/>
      </c>
      <c r="J62" s="20">
        <f>MASTER!J61</f>
        <v/>
      </c>
      <c r="K62" s="20">
        <f>MASTER!K61</f>
        <v/>
      </c>
      <c r="L62" s="21">
        <f>MASTER!L61</f>
        <v/>
      </c>
      <c r="M62" s="21">
        <f>MASTER!M61</f>
        <v/>
      </c>
      <c r="N62" s="21">
        <f>MASTER!N61</f>
        <v/>
      </c>
      <c r="O62" s="23">
        <f>MASTER!O61</f>
        <v/>
      </c>
      <c r="P62" s="21">
        <f>MASTER!P61</f>
        <v/>
      </c>
      <c r="Q62" s="21">
        <f>MASTER!Q61</f>
        <v/>
      </c>
    </row>
    <row r="63" ht="35.05" customHeight="1" s="14">
      <c r="A63" s="20">
        <f>MASTER!A62</f>
        <v/>
      </c>
      <c r="B63" s="21">
        <f>MASTER!B62</f>
        <v/>
      </c>
      <c r="C63" s="20">
        <f>MASTER!C62</f>
        <v/>
      </c>
      <c r="D63" s="21">
        <f>MASTER!D62</f>
        <v/>
      </c>
      <c r="E63" s="21">
        <f>MASTER!E62</f>
        <v/>
      </c>
      <c r="F63" s="21">
        <f>MASTER!F62</f>
        <v/>
      </c>
      <c r="G63" s="20">
        <f>MASTER!G62</f>
        <v/>
      </c>
      <c r="H63" s="20">
        <f>MASTER!H62</f>
        <v/>
      </c>
      <c r="I63" s="20">
        <f>MASTER!I62</f>
        <v/>
      </c>
      <c r="J63" s="20">
        <f>MASTER!J62</f>
        <v/>
      </c>
      <c r="K63" s="20">
        <f>MASTER!K62</f>
        <v/>
      </c>
      <c r="L63" s="21">
        <f>MASTER!L62</f>
        <v/>
      </c>
      <c r="M63" s="21">
        <f>MASTER!M62</f>
        <v/>
      </c>
      <c r="N63" s="21">
        <f>MASTER!N62</f>
        <v/>
      </c>
      <c r="O63" s="23">
        <f>MASTER!O62</f>
        <v/>
      </c>
      <c r="P63" s="21">
        <f>MASTER!P62</f>
        <v/>
      </c>
      <c r="Q63" s="21">
        <f>MASTER!Q62</f>
        <v/>
      </c>
    </row>
    <row r="64" ht="35.05" customHeight="1" s="14">
      <c r="A64" s="20">
        <f>MASTER!A63</f>
        <v/>
      </c>
      <c r="B64" s="21">
        <f>MASTER!B63</f>
        <v/>
      </c>
      <c r="C64" s="20">
        <f>MASTER!C63</f>
        <v/>
      </c>
      <c r="D64" s="21">
        <f>MASTER!D63</f>
        <v/>
      </c>
      <c r="E64" s="21">
        <f>MASTER!E63</f>
        <v/>
      </c>
      <c r="F64" s="21">
        <f>MASTER!F63</f>
        <v/>
      </c>
      <c r="G64" s="20">
        <f>MASTER!G63</f>
        <v/>
      </c>
      <c r="H64" s="20">
        <f>MASTER!H63</f>
        <v/>
      </c>
      <c r="I64" s="20">
        <f>MASTER!I63</f>
        <v/>
      </c>
      <c r="J64" s="20">
        <f>MASTER!J63</f>
        <v/>
      </c>
      <c r="K64" s="20">
        <f>MASTER!K63</f>
        <v/>
      </c>
      <c r="L64" s="21">
        <f>MASTER!L63</f>
        <v/>
      </c>
      <c r="M64" s="21">
        <f>MASTER!M63</f>
        <v/>
      </c>
      <c r="N64" s="21">
        <f>MASTER!N63</f>
        <v/>
      </c>
      <c r="O64" s="23">
        <f>MASTER!O63</f>
        <v/>
      </c>
      <c r="P64" s="21">
        <f>MASTER!P63</f>
        <v/>
      </c>
      <c r="Q64" s="21">
        <f>MASTER!Q63</f>
        <v/>
      </c>
    </row>
    <row r="65" ht="23.85" customHeight="1" s="14">
      <c r="A65" s="20">
        <f>MASTER!A64</f>
        <v/>
      </c>
      <c r="B65" s="21">
        <f>MASTER!B64</f>
        <v/>
      </c>
      <c r="C65" s="20">
        <f>MASTER!C64</f>
        <v/>
      </c>
      <c r="D65" s="21">
        <f>MASTER!D64</f>
        <v/>
      </c>
      <c r="E65" s="21">
        <f>MASTER!E64</f>
        <v/>
      </c>
      <c r="F65" s="21">
        <f>MASTER!F64</f>
        <v/>
      </c>
      <c r="G65" s="20">
        <f>MASTER!G64</f>
        <v/>
      </c>
      <c r="H65" s="20">
        <f>MASTER!H64</f>
        <v/>
      </c>
      <c r="I65" s="20">
        <f>MASTER!I64</f>
        <v/>
      </c>
      <c r="J65" s="20">
        <f>MASTER!J64</f>
        <v/>
      </c>
      <c r="K65" s="20">
        <f>MASTER!K64</f>
        <v/>
      </c>
      <c r="L65" s="21">
        <f>MASTER!L64</f>
        <v/>
      </c>
      <c r="M65" s="21">
        <f>MASTER!M64</f>
        <v/>
      </c>
      <c r="N65" s="21">
        <f>MASTER!N64</f>
        <v/>
      </c>
      <c r="O65" s="23">
        <f>MASTER!O64</f>
        <v/>
      </c>
      <c r="P65" s="21">
        <f>MASTER!P64</f>
        <v/>
      </c>
      <c r="Q65" s="21">
        <f>MASTER!Q64</f>
        <v/>
      </c>
    </row>
    <row r="66" ht="23.85" customHeight="1" s="14">
      <c r="A66" s="20">
        <f>MASTER!A65</f>
        <v/>
      </c>
      <c r="B66" s="21">
        <f>MASTER!B65</f>
        <v/>
      </c>
      <c r="C66" s="20">
        <f>MASTER!C65</f>
        <v/>
      </c>
      <c r="D66" s="21">
        <f>MASTER!D65</f>
        <v/>
      </c>
      <c r="E66" s="21">
        <f>MASTER!E65</f>
        <v/>
      </c>
      <c r="F66" s="21">
        <f>MASTER!F65</f>
        <v/>
      </c>
      <c r="G66" s="20">
        <f>MASTER!G65</f>
        <v/>
      </c>
      <c r="H66" s="20">
        <f>MASTER!H65</f>
        <v/>
      </c>
      <c r="I66" s="20">
        <f>MASTER!I65</f>
        <v/>
      </c>
      <c r="J66" s="20">
        <f>MASTER!J65</f>
        <v/>
      </c>
      <c r="K66" s="20">
        <f>MASTER!K65</f>
        <v/>
      </c>
      <c r="L66" s="21">
        <f>MASTER!L65</f>
        <v/>
      </c>
      <c r="M66" s="21">
        <f>MASTER!M65</f>
        <v/>
      </c>
      <c r="N66" s="21">
        <f>MASTER!N65</f>
        <v/>
      </c>
      <c r="O66" s="23">
        <f>MASTER!O65</f>
        <v/>
      </c>
      <c r="P66" s="21">
        <f>MASTER!P65</f>
        <v/>
      </c>
      <c r="Q66" s="21">
        <f>MASTER!Q65</f>
        <v/>
      </c>
    </row>
    <row r="67" ht="23.85" customHeight="1" s="14">
      <c r="A67" s="20">
        <f>MASTER!A66</f>
        <v/>
      </c>
      <c r="B67" s="21">
        <f>MASTER!B66</f>
        <v/>
      </c>
      <c r="C67" s="20">
        <f>MASTER!C66</f>
        <v/>
      </c>
      <c r="D67" s="21">
        <f>MASTER!D66</f>
        <v/>
      </c>
      <c r="E67" s="21">
        <f>MASTER!E66</f>
        <v/>
      </c>
      <c r="F67" s="21">
        <f>MASTER!F66</f>
        <v/>
      </c>
      <c r="G67" s="20">
        <f>MASTER!G66</f>
        <v/>
      </c>
      <c r="H67" s="20">
        <f>MASTER!H66</f>
        <v/>
      </c>
      <c r="I67" s="20">
        <f>MASTER!I66</f>
        <v/>
      </c>
      <c r="J67" s="20">
        <f>MASTER!J66</f>
        <v/>
      </c>
      <c r="K67" s="20">
        <f>MASTER!K66</f>
        <v/>
      </c>
      <c r="L67" s="21">
        <f>MASTER!L66</f>
        <v/>
      </c>
      <c r="M67" s="21">
        <f>MASTER!M66</f>
        <v/>
      </c>
      <c r="N67" s="21">
        <f>MASTER!N66</f>
        <v/>
      </c>
      <c r="O67" s="23">
        <f>MASTER!O66</f>
        <v/>
      </c>
      <c r="P67" s="21">
        <f>MASTER!P66</f>
        <v/>
      </c>
      <c r="Q67" s="21">
        <f>MASTER!Q66</f>
        <v/>
      </c>
    </row>
    <row r="68" ht="23.85" customHeight="1" s="14">
      <c r="A68" s="20">
        <f>MASTER!A67</f>
        <v/>
      </c>
      <c r="B68" s="21">
        <f>MASTER!B67</f>
        <v/>
      </c>
      <c r="C68" s="20">
        <f>MASTER!C67</f>
        <v/>
      </c>
      <c r="D68" s="21">
        <f>MASTER!D67</f>
        <v/>
      </c>
      <c r="E68" s="21">
        <f>MASTER!E67</f>
        <v/>
      </c>
      <c r="F68" s="21">
        <f>MASTER!F67</f>
        <v/>
      </c>
      <c r="G68" s="20">
        <f>MASTER!G67</f>
        <v/>
      </c>
      <c r="H68" s="20">
        <f>MASTER!H67</f>
        <v/>
      </c>
      <c r="I68" s="20">
        <f>MASTER!I67</f>
        <v/>
      </c>
      <c r="J68" s="20">
        <f>MASTER!J67</f>
        <v/>
      </c>
      <c r="K68" s="20">
        <f>MASTER!K67</f>
        <v/>
      </c>
      <c r="L68" s="21">
        <f>MASTER!L67</f>
        <v/>
      </c>
      <c r="M68" s="21">
        <f>MASTER!M67</f>
        <v/>
      </c>
      <c r="N68" s="21">
        <f>MASTER!N67</f>
        <v/>
      </c>
      <c r="O68" s="23">
        <f>MASTER!O67</f>
        <v/>
      </c>
      <c r="P68" s="21">
        <f>MASTER!P67</f>
        <v/>
      </c>
      <c r="Q68" s="21">
        <f>MASTER!Q67</f>
        <v/>
      </c>
    </row>
    <row r="69" ht="35.05" customHeight="1" s="14">
      <c r="A69" s="20">
        <f>MASTER!A68</f>
        <v/>
      </c>
      <c r="B69" s="21">
        <f>MASTER!B68</f>
        <v/>
      </c>
      <c r="C69" s="20">
        <f>MASTER!C68</f>
        <v/>
      </c>
      <c r="D69" s="21">
        <f>MASTER!D68</f>
        <v/>
      </c>
      <c r="E69" s="21">
        <f>MASTER!E68</f>
        <v/>
      </c>
      <c r="F69" s="21">
        <f>MASTER!F68</f>
        <v/>
      </c>
      <c r="G69" s="20">
        <f>MASTER!G68</f>
        <v/>
      </c>
      <c r="H69" s="20">
        <f>MASTER!H68</f>
        <v/>
      </c>
      <c r="I69" s="20">
        <f>MASTER!I68</f>
        <v/>
      </c>
      <c r="J69" s="20">
        <f>MASTER!J68</f>
        <v/>
      </c>
      <c r="K69" s="20">
        <f>MASTER!K68</f>
        <v/>
      </c>
      <c r="L69" s="21">
        <f>MASTER!L68</f>
        <v/>
      </c>
      <c r="M69" s="21">
        <f>MASTER!M68</f>
        <v/>
      </c>
      <c r="N69" s="21">
        <f>MASTER!N68</f>
        <v/>
      </c>
      <c r="O69" s="23">
        <f>MASTER!O68</f>
        <v/>
      </c>
      <c r="P69" s="21">
        <f>MASTER!P68</f>
        <v/>
      </c>
      <c r="Q69" s="21">
        <f>MASTER!Q68</f>
        <v/>
      </c>
    </row>
    <row r="70" ht="35.05" customHeight="1" s="14">
      <c r="A70" s="20">
        <f>MASTER!A69</f>
        <v/>
      </c>
      <c r="B70" s="21">
        <f>MASTER!B69</f>
        <v/>
      </c>
      <c r="C70" s="20">
        <f>MASTER!C69</f>
        <v/>
      </c>
      <c r="D70" s="21">
        <f>MASTER!D69</f>
        <v/>
      </c>
      <c r="E70" s="21">
        <f>MASTER!E69</f>
        <v/>
      </c>
      <c r="F70" s="21">
        <f>MASTER!F69</f>
        <v/>
      </c>
      <c r="G70" s="20">
        <f>MASTER!G69</f>
        <v/>
      </c>
      <c r="H70" s="20">
        <f>MASTER!H69</f>
        <v/>
      </c>
      <c r="I70" s="20">
        <f>MASTER!I69</f>
        <v/>
      </c>
      <c r="J70" s="20">
        <f>MASTER!J69</f>
        <v/>
      </c>
      <c r="K70" s="20">
        <f>MASTER!K69</f>
        <v/>
      </c>
      <c r="L70" s="21">
        <f>MASTER!L69</f>
        <v/>
      </c>
      <c r="M70" s="21">
        <f>MASTER!M69</f>
        <v/>
      </c>
      <c r="N70" s="21">
        <f>MASTER!N69</f>
        <v/>
      </c>
      <c r="O70" s="23">
        <f>MASTER!O69</f>
        <v/>
      </c>
      <c r="P70" s="21">
        <f>MASTER!P69</f>
        <v/>
      </c>
      <c r="Q70" s="21">
        <f>MASTER!Q69</f>
        <v/>
      </c>
    </row>
    <row r="71" ht="35.05" customHeight="1" s="14">
      <c r="A71" s="20">
        <f>MASTER!A70</f>
        <v/>
      </c>
      <c r="B71" s="21">
        <f>MASTER!B70</f>
        <v/>
      </c>
      <c r="C71" s="20">
        <f>MASTER!C70</f>
        <v/>
      </c>
      <c r="D71" s="21">
        <f>MASTER!D70</f>
        <v/>
      </c>
      <c r="E71" s="21">
        <f>MASTER!E70</f>
        <v/>
      </c>
      <c r="F71" s="21">
        <f>MASTER!F70</f>
        <v/>
      </c>
      <c r="G71" s="20">
        <f>MASTER!G70</f>
        <v/>
      </c>
      <c r="H71" s="20">
        <f>MASTER!H70</f>
        <v/>
      </c>
      <c r="I71" s="20">
        <f>MASTER!I70</f>
        <v/>
      </c>
      <c r="J71" s="20">
        <f>MASTER!J70</f>
        <v/>
      </c>
      <c r="K71" s="20">
        <f>MASTER!K70</f>
        <v/>
      </c>
      <c r="L71" s="21">
        <f>MASTER!L70</f>
        <v/>
      </c>
      <c r="M71" s="21">
        <f>MASTER!M70</f>
        <v/>
      </c>
      <c r="N71" s="21">
        <f>MASTER!N70</f>
        <v/>
      </c>
      <c r="O71" s="23">
        <f>MASTER!O70</f>
        <v/>
      </c>
      <c r="P71" s="21">
        <f>MASTER!P70</f>
        <v/>
      </c>
      <c r="Q71" s="21">
        <f>MASTER!Q70</f>
        <v/>
      </c>
    </row>
    <row r="72" ht="23.85" customHeight="1" s="14">
      <c r="A72" s="20">
        <f>MASTER!A71</f>
        <v/>
      </c>
      <c r="B72" s="21">
        <f>MASTER!B71</f>
        <v/>
      </c>
      <c r="C72" s="20">
        <f>MASTER!C71</f>
        <v/>
      </c>
      <c r="D72" s="21">
        <f>MASTER!D71</f>
        <v/>
      </c>
      <c r="E72" s="21">
        <f>MASTER!E71</f>
        <v/>
      </c>
      <c r="F72" s="21">
        <f>MASTER!F71</f>
        <v/>
      </c>
      <c r="G72" s="20">
        <f>MASTER!G71</f>
        <v/>
      </c>
      <c r="H72" s="20">
        <f>MASTER!H71</f>
        <v/>
      </c>
      <c r="I72" s="20">
        <f>MASTER!I71</f>
        <v/>
      </c>
      <c r="J72" s="20">
        <f>MASTER!J71</f>
        <v/>
      </c>
      <c r="K72" s="20">
        <f>MASTER!K71</f>
        <v/>
      </c>
      <c r="L72" s="21">
        <f>MASTER!L71</f>
        <v/>
      </c>
      <c r="M72" s="21">
        <f>MASTER!M71</f>
        <v/>
      </c>
      <c r="N72" s="21">
        <f>MASTER!N71</f>
        <v/>
      </c>
      <c r="O72" s="23">
        <f>MASTER!O71</f>
        <v/>
      </c>
      <c r="P72" s="21">
        <f>MASTER!P71</f>
        <v/>
      </c>
      <c r="Q72" s="21">
        <f>MASTER!Q71</f>
        <v/>
      </c>
    </row>
    <row r="73" ht="23.85" customHeight="1" s="14">
      <c r="A73" s="20">
        <f>MASTER!A72</f>
        <v/>
      </c>
      <c r="B73" s="21">
        <f>MASTER!B72</f>
        <v/>
      </c>
      <c r="C73" s="20">
        <f>MASTER!C72</f>
        <v/>
      </c>
      <c r="D73" s="21">
        <f>MASTER!D72</f>
        <v/>
      </c>
      <c r="E73" s="21">
        <f>MASTER!E72</f>
        <v/>
      </c>
      <c r="F73" s="21">
        <f>MASTER!F72</f>
        <v/>
      </c>
      <c r="G73" s="20">
        <f>MASTER!G72</f>
        <v/>
      </c>
      <c r="H73" s="20">
        <f>MASTER!H72</f>
        <v/>
      </c>
      <c r="I73" s="20">
        <f>MASTER!I72</f>
        <v/>
      </c>
      <c r="J73" s="20">
        <f>MASTER!J72</f>
        <v/>
      </c>
      <c r="K73" s="20">
        <f>MASTER!K72</f>
        <v/>
      </c>
      <c r="L73" s="21">
        <f>MASTER!L72</f>
        <v/>
      </c>
      <c r="M73" s="21">
        <f>MASTER!M72</f>
        <v/>
      </c>
      <c r="N73" s="21">
        <f>MASTER!N72</f>
        <v/>
      </c>
      <c r="O73" s="23">
        <f>MASTER!O72</f>
        <v/>
      </c>
      <c r="P73" s="21">
        <f>MASTER!P72</f>
        <v/>
      </c>
      <c r="Q73" s="21">
        <f>MASTER!Q72</f>
        <v/>
      </c>
    </row>
    <row r="74" ht="23.85" customHeight="1" s="14">
      <c r="A74" s="20">
        <f>MASTER!A73</f>
        <v/>
      </c>
      <c r="B74" s="21">
        <f>MASTER!B73</f>
        <v/>
      </c>
      <c r="C74" s="20">
        <f>MASTER!C73</f>
        <v/>
      </c>
      <c r="D74" s="21">
        <f>MASTER!D73</f>
        <v/>
      </c>
      <c r="E74" s="21">
        <f>MASTER!E73</f>
        <v/>
      </c>
      <c r="F74" s="21">
        <f>MASTER!F73</f>
        <v/>
      </c>
      <c r="G74" s="20">
        <f>MASTER!G73</f>
        <v/>
      </c>
      <c r="H74" s="20">
        <f>MASTER!H73</f>
        <v/>
      </c>
      <c r="I74" s="20">
        <f>MASTER!I73</f>
        <v/>
      </c>
      <c r="J74" s="20">
        <f>MASTER!J73</f>
        <v/>
      </c>
      <c r="K74" s="20">
        <f>MASTER!K73</f>
        <v/>
      </c>
      <c r="L74" s="21">
        <f>MASTER!L73</f>
        <v/>
      </c>
      <c r="M74" s="21">
        <f>MASTER!M73</f>
        <v/>
      </c>
      <c r="N74" s="21">
        <f>MASTER!N73</f>
        <v/>
      </c>
      <c r="O74" s="23">
        <f>MASTER!O73</f>
        <v/>
      </c>
      <c r="P74" s="21">
        <f>MASTER!P73</f>
        <v/>
      </c>
      <c r="Q74" s="21">
        <f>MASTER!Q73</f>
        <v/>
      </c>
    </row>
    <row r="75" ht="23.85" customHeight="1" s="14">
      <c r="A75" s="20">
        <f>MASTER!A74</f>
        <v/>
      </c>
      <c r="B75" s="21">
        <f>MASTER!B74</f>
        <v/>
      </c>
      <c r="C75" s="20">
        <f>MASTER!C74</f>
        <v/>
      </c>
      <c r="D75" s="21">
        <f>MASTER!D74</f>
        <v/>
      </c>
      <c r="E75" s="21">
        <f>MASTER!E74</f>
        <v/>
      </c>
      <c r="F75" s="21">
        <f>MASTER!F74</f>
        <v/>
      </c>
      <c r="G75" s="20">
        <f>MASTER!G74</f>
        <v/>
      </c>
      <c r="H75" s="20">
        <f>MASTER!H74</f>
        <v/>
      </c>
      <c r="I75" s="20">
        <f>MASTER!I74</f>
        <v/>
      </c>
      <c r="J75" s="20">
        <f>MASTER!J74</f>
        <v/>
      </c>
      <c r="K75" s="20">
        <f>MASTER!K74</f>
        <v/>
      </c>
      <c r="L75" s="21">
        <f>MASTER!L74</f>
        <v/>
      </c>
      <c r="M75" s="21">
        <f>MASTER!M74</f>
        <v/>
      </c>
      <c r="N75" s="21">
        <f>MASTER!N74</f>
        <v/>
      </c>
      <c r="O75" s="23">
        <f>MASTER!O74</f>
        <v/>
      </c>
      <c r="P75" s="21">
        <f>MASTER!P74</f>
        <v/>
      </c>
      <c r="Q75" s="21">
        <f>MASTER!Q74</f>
        <v/>
      </c>
    </row>
    <row r="76" ht="23.85" customHeight="1" s="14">
      <c r="A76" s="20">
        <f>MASTER!A75</f>
        <v/>
      </c>
      <c r="B76" s="21">
        <f>MASTER!B75</f>
        <v/>
      </c>
      <c r="C76" s="20">
        <f>MASTER!C75</f>
        <v/>
      </c>
      <c r="D76" s="21">
        <f>MASTER!D75</f>
        <v/>
      </c>
      <c r="E76" s="21">
        <f>MASTER!E75</f>
        <v/>
      </c>
      <c r="F76" s="21">
        <f>MASTER!F75</f>
        <v/>
      </c>
      <c r="G76" s="20">
        <f>MASTER!G75</f>
        <v/>
      </c>
      <c r="H76" s="20">
        <f>MASTER!H75</f>
        <v/>
      </c>
      <c r="I76" s="20">
        <f>MASTER!I75</f>
        <v/>
      </c>
      <c r="J76" s="20">
        <f>MASTER!J75</f>
        <v/>
      </c>
      <c r="K76" s="20">
        <f>MASTER!K75</f>
        <v/>
      </c>
      <c r="L76" s="21">
        <f>MASTER!L75</f>
        <v/>
      </c>
      <c r="M76" s="21">
        <f>MASTER!M75</f>
        <v/>
      </c>
      <c r="N76" s="21">
        <f>MASTER!N75</f>
        <v/>
      </c>
      <c r="O76" s="23">
        <f>MASTER!O75</f>
        <v/>
      </c>
      <c r="P76" s="21">
        <f>MASTER!P75</f>
        <v/>
      </c>
      <c r="Q76" s="21">
        <f>MASTER!Q75</f>
        <v/>
      </c>
    </row>
    <row r="77" ht="23.85" customHeight="1" s="14">
      <c r="A77" s="20">
        <f>MASTER!A76</f>
        <v/>
      </c>
      <c r="B77" s="21">
        <f>MASTER!B76</f>
        <v/>
      </c>
      <c r="C77" s="20">
        <f>MASTER!C76</f>
        <v/>
      </c>
      <c r="D77" s="21">
        <f>MASTER!D76</f>
        <v/>
      </c>
      <c r="E77" s="21">
        <f>MASTER!E76</f>
        <v/>
      </c>
      <c r="F77" s="21">
        <f>MASTER!F76</f>
        <v/>
      </c>
      <c r="G77" s="20">
        <f>MASTER!G76</f>
        <v/>
      </c>
      <c r="H77" s="20">
        <f>MASTER!H76</f>
        <v/>
      </c>
      <c r="I77" s="20">
        <f>MASTER!I76</f>
        <v/>
      </c>
      <c r="J77" s="20">
        <f>MASTER!J76</f>
        <v/>
      </c>
      <c r="K77" s="20">
        <f>MASTER!K76</f>
        <v/>
      </c>
      <c r="L77" s="21">
        <f>MASTER!L76</f>
        <v/>
      </c>
      <c r="M77" s="21">
        <f>MASTER!M76</f>
        <v/>
      </c>
      <c r="N77" s="21">
        <f>MASTER!N76</f>
        <v/>
      </c>
      <c r="O77" s="23">
        <f>MASTER!O76</f>
        <v/>
      </c>
      <c r="P77" s="21">
        <f>MASTER!P76</f>
        <v/>
      </c>
      <c r="Q77" s="21">
        <f>MASTER!Q76</f>
        <v/>
      </c>
    </row>
    <row r="78" ht="23.85" customHeight="1" s="14">
      <c r="A78" s="20">
        <f>MASTER!A77</f>
        <v/>
      </c>
      <c r="B78" s="21">
        <f>MASTER!B77</f>
        <v/>
      </c>
      <c r="C78" s="20">
        <f>MASTER!C77</f>
        <v/>
      </c>
      <c r="D78" s="21">
        <f>MASTER!D77</f>
        <v/>
      </c>
      <c r="E78" s="21">
        <f>MASTER!E77</f>
        <v/>
      </c>
      <c r="F78" s="21">
        <f>MASTER!F77</f>
        <v/>
      </c>
      <c r="G78" s="20">
        <f>MASTER!G77</f>
        <v/>
      </c>
      <c r="H78" s="20">
        <f>MASTER!H77</f>
        <v/>
      </c>
      <c r="I78" s="20">
        <f>MASTER!I77</f>
        <v/>
      </c>
      <c r="J78" s="20">
        <f>MASTER!J77</f>
        <v/>
      </c>
      <c r="K78" s="20">
        <f>MASTER!K77</f>
        <v/>
      </c>
      <c r="L78" s="21">
        <f>MASTER!L77</f>
        <v/>
      </c>
      <c r="M78" s="21">
        <f>MASTER!M77</f>
        <v/>
      </c>
      <c r="N78" s="21">
        <f>MASTER!N77</f>
        <v/>
      </c>
      <c r="O78" s="23">
        <f>MASTER!O77</f>
        <v/>
      </c>
      <c r="P78" s="21">
        <f>MASTER!P77</f>
        <v/>
      </c>
      <c r="Q78" s="21">
        <f>MASTER!Q77</f>
        <v/>
      </c>
    </row>
    <row r="79" ht="15" customHeight="1" s="14">
      <c r="A79" s="20">
        <f>MASTER!A78</f>
        <v/>
      </c>
      <c r="B79" s="21">
        <f>MASTER!B78</f>
        <v/>
      </c>
      <c r="C79" s="20">
        <f>MASTER!C78</f>
        <v/>
      </c>
      <c r="D79" s="21">
        <f>MASTER!D78</f>
        <v/>
      </c>
      <c r="E79" s="21">
        <f>MASTER!E78</f>
        <v/>
      </c>
      <c r="F79" s="21">
        <f>MASTER!F78</f>
        <v/>
      </c>
      <c r="G79" s="20">
        <f>MASTER!G78</f>
        <v/>
      </c>
      <c r="H79" s="20">
        <f>MASTER!H78</f>
        <v/>
      </c>
      <c r="I79" s="20">
        <f>MASTER!I78</f>
        <v/>
      </c>
      <c r="J79" s="20">
        <f>MASTER!J78</f>
        <v/>
      </c>
      <c r="K79" s="20">
        <f>MASTER!K78</f>
        <v/>
      </c>
      <c r="L79" s="21">
        <f>MASTER!L78</f>
        <v/>
      </c>
      <c r="M79" s="21">
        <f>MASTER!M78</f>
        <v/>
      </c>
      <c r="N79" s="21">
        <f>MASTER!N78</f>
        <v/>
      </c>
      <c r="O79" s="23">
        <f>MASTER!O78</f>
        <v/>
      </c>
      <c r="P79" s="21">
        <f>MASTER!P78</f>
        <v/>
      </c>
      <c r="Q79" s="21">
        <f>MASTER!Q78</f>
        <v/>
      </c>
    </row>
    <row r="80" ht="23.85" customHeight="1" s="14">
      <c r="A80" s="20">
        <f>MASTER!A79</f>
        <v/>
      </c>
      <c r="B80" s="21">
        <f>MASTER!B79</f>
        <v/>
      </c>
      <c r="C80" s="20">
        <f>MASTER!C79</f>
        <v/>
      </c>
      <c r="D80" s="21">
        <f>MASTER!D79</f>
        <v/>
      </c>
      <c r="E80" s="21">
        <f>MASTER!E79</f>
        <v/>
      </c>
      <c r="F80" s="21">
        <f>MASTER!F79</f>
        <v/>
      </c>
      <c r="G80" s="20">
        <f>MASTER!G79</f>
        <v/>
      </c>
      <c r="H80" s="20">
        <f>MASTER!H79</f>
        <v/>
      </c>
      <c r="I80" s="20">
        <f>MASTER!I79</f>
        <v/>
      </c>
      <c r="J80" s="20">
        <f>MASTER!J79</f>
        <v/>
      </c>
      <c r="K80" s="20">
        <f>MASTER!K79</f>
        <v/>
      </c>
      <c r="L80" s="21">
        <f>MASTER!L79</f>
        <v/>
      </c>
      <c r="M80" s="21">
        <f>MASTER!M79</f>
        <v/>
      </c>
      <c r="N80" s="21">
        <f>MASTER!N79</f>
        <v/>
      </c>
      <c r="O80" s="23">
        <f>MASTER!O79</f>
        <v/>
      </c>
      <c r="P80" s="21">
        <f>MASTER!P79</f>
        <v/>
      </c>
      <c r="Q80" s="21">
        <f>MASTER!Q79</f>
        <v/>
      </c>
    </row>
    <row r="81" ht="23.85" customHeight="1" s="14">
      <c r="A81" s="20">
        <f>MASTER!A80</f>
        <v/>
      </c>
      <c r="B81" s="21">
        <f>MASTER!B80</f>
        <v/>
      </c>
      <c r="C81" s="20">
        <f>MASTER!C80</f>
        <v/>
      </c>
      <c r="D81" s="21">
        <f>MASTER!D80</f>
        <v/>
      </c>
      <c r="E81" s="21">
        <f>MASTER!E80</f>
        <v/>
      </c>
      <c r="F81" s="21">
        <f>MASTER!F80</f>
        <v/>
      </c>
      <c r="G81" s="20">
        <f>MASTER!G80</f>
        <v/>
      </c>
      <c r="H81" s="20">
        <f>MASTER!H80</f>
        <v/>
      </c>
      <c r="I81" s="20">
        <f>MASTER!I80</f>
        <v/>
      </c>
      <c r="J81" s="20">
        <f>MASTER!J80</f>
        <v/>
      </c>
      <c r="K81" s="20">
        <f>MASTER!K80</f>
        <v/>
      </c>
      <c r="L81" s="21">
        <f>MASTER!L80</f>
        <v/>
      </c>
      <c r="M81" s="21">
        <f>MASTER!M80</f>
        <v/>
      </c>
      <c r="N81" s="21">
        <f>MASTER!N80</f>
        <v/>
      </c>
      <c r="O81" s="23">
        <f>MASTER!O80</f>
        <v/>
      </c>
      <c r="P81" s="21">
        <f>MASTER!P80</f>
        <v/>
      </c>
      <c r="Q81" s="21">
        <f>MASTER!Q80</f>
        <v/>
      </c>
    </row>
    <row r="82" ht="23.85" customHeight="1" s="14">
      <c r="A82" s="20">
        <f>MASTER!A81</f>
        <v/>
      </c>
      <c r="B82" s="21">
        <f>MASTER!B81</f>
        <v/>
      </c>
      <c r="C82" s="20">
        <f>MASTER!C81</f>
        <v/>
      </c>
      <c r="D82" s="21">
        <f>MASTER!D81</f>
        <v/>
      </c>
      <c r="E82" s="21">
        <f>MASTER!E81</f>
        <v/>
      </c>
      <c r="F82" s="21">
        <f>MASTER!F81</f>
        <v/>
      </c>
      <c r="G82" s="20">
        <f>MASTER!G81</f>
        <v/>
      </c>
      <c r="H82" s="20">
        <f>MASTER!H81</f>
        <v/>
      </c>
      <c r="I82" s="20">
        <f>MASTER!I81</f>
        <v/>
      </c>
      <c r="J82" s="20">
        <f>MASTER!J81</f>
        <v/>
      </c>
      <c r="K82" s="20">
        <f>MASTER!K81</f>
        <v/>
      </c>
      <c r="L82" s="21">
        <f>MASTER!L81</f>
        <v/>
      </c>
      <c r="M82" s="21">
        <f>MASTER!M81</f>
        <v/>
      </c>
      <c r="N82" s="21">
        <f>MASTER!N81</f>
        <v/>
      </c>
      <c r="O82" s="23">
        <f>MASTER!O81</f>
        <v/>
      </c>
      <c r="P82" s="21">
        <f>MASTER!P81</f>
        <v/>
      </c>
      <c r="Q82" s="21">
        <f>MASTER!Q81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6" customWidth="1" style="13" min="1" max="1"/>
    <col width="16" customWidth="1" style="13" min="2" max="2"/>
    <col width="72" customWidth="1" style="13" min="3" max="3"/>
  </cols>
  <sheetData>
    <row r="1" ht="26.85" customHeight="1" s="14">
      <c r="A1" s="17" t="inlineStr">
        <is>
          <t>COSTS — computed from MASTER by formula; edit MASTER, never this sheet</t>
        </is>
      </c>
    </row>
    <row r="2" ht="15" customHeight="1" s="14">
      <c r="A2" s="16" t="n"/>
    </row>
    <row r="3" ht="22.35" customHeight="1" s="14">
      <c r="A3" s="16" t="inlineStr">
        <is>
          <t>Initial reusable setup (one-time purchase)</t>
        </is>
      </c>
      <c r="B3" s="25">
        <f>SUMIF(MASTER!$K$2:$K$81,"Reusable",MASTER!$O$2:$O$81)</f>
        <v/>
      </c>
      <c r="C3" s="26" t="inlineStr">
        <is>
          <t>Everything marked Reusable: card sets, goggles, lamps, model kits, pop beads, beans. Bought once, used every class, every year.</t>
        </is>
      </c>
    </row>
    <row r="4" ht="22.35" customHeight="1" s="14">
      <c r="A4" s="16" t="inlineStr">
        <is>
          <t>Recurring consumables (per year)</t>
        </is>
      </c>
      <c r="B4" s="25">
        <f>SUMIF(MASTER!$K$2:$K$81,"Consumable",MASTER!$O$2:$O$81)</f>
        <v/>
      </c>
      <c r="C4" s="26" t="inlineStr">
        <is>
          <t>Everything marked Consumable: groceries, peroxide, balloons, yeast, PTC strips, pipe cleaners. Rebought each year; printing is $0 on the school copier.</t>
        </is>
      </c>
    </row>
    <row r="5" ht="15" customHeight="1" s="14">
      <c r="A5" s="16" t="inlineStr">
        <is>
          <t>Annual total — first year (setup + consumables)</t>
        </is>
      </c>
      <c r="B5" s="25">
        <f>B3+B4</f>
        <v/>
      </c>
    </row>
    <row r="6" ht="15" customHeight="1" s="14">
      <c r="A6" s="16" t="inlineStr">
        <is>
          <t>Annual total — later years (consumables only)</t>
        </is>
      </c>
      <c r="B6" s="25">
        <f>B4</f>
        <v/>
      </c>
    </row>
    <row r="7" ht="15" customHeight="1" s="14">
      <c r="A7" s="16" t="n"/>
    </row>
    <row r="8" ht="26.85" customHeight="1" s="14">
      <c r="A8" s="17" t="inlineStr">
        <is>
          <t>Consumables by quarter (what each quarter's shopping run costs)</t>
        </is>
      </c>
    </row>
    <row r="9" ht="15" customHeight="1" s="14">
      <c r="A9" s="16" t="inlineStr">
        <is>
          <t>Q1 consumables</t>
        </is>
      </c>
      <c r="B9" s="25">
        <f>SUMIFS(MASTER!$O$2:$O$81,MASTER!$K$2:$K$81,"Consumable",MASTER!$A$2:$A$81,"Q1")</f>
        <v/>
      </c>
      <c r="C9" s="26" t="inlineStr">
        <is>
          <t>Cycles 1–5</t>
        </is>
      </c>
    </row>
    <row r="10" ht="15" customHeight="1" s="14">
      <c r="A10" s="16" t="inlineStr">
        <is>
          <t>Q2 consumables</t>
        </is>
      </c>
      <c r="B10" s="25">
        <f>SUMIFS(MASTER!$O$2:$O$81,MASTER!$K$2:$K$81,"Consumable",MASTER!$A$2:$A$81,"Q2")</f>
        <v/>
      </c>
      <c r="C10" s="26" t="inlineStr">
        <is>
          <t>Cycles 6–10</t>
        </is>
      </c>
    </row>
    <row r="11" ht="15" customHeight="1" s="14">
      <c r="A11" s="16" t="inlineStr">
        <is>
          <t>Q3 consumables</t>
        </is>
      </c>
      <c r="B11" s="25">
        <f>SUMIFS(MASTER!$O$2:$O$81,MASTER!$K$2:$K$81,"Consumable",MASTER!$A$2:$A$81,"Q3")</f>
        <v/>
      </c>
      <c r="C11" s="26" t="inlineStr">
        <is>
          <t>Cycles 11–15</t>
        </is>
      </c>
    </row>
    <row r="12" ht="15" customHeight="1" s="14">
      <c r="A12" s="16" t="inlineStr">
        <is>
          <t>Q4 consumables</t>
        </is>
      </c>
      <c r="B12" s="25">
        <f>SUMIFS(MASTER!$O$2:$O$81,MASTER!$K$2:$K$81,"Consumable",MASTER!$A$2:$A$81,"Q4")</f>
        <v/>
      </c>
      <c r="C12" s="26" t="inlineStr">
        <is>
          <t>Cycles 16–20</t>
        </is>
      </c>
    </row>
    <row r="13" ht="15" customHeight="1" s="14">
      <c r="A13" s="16" t="n"/>
    </row>
    <row r="14" ht="26.85" customHeight="1" s="14">
      <c r="A14" s="17" t="inlineStr">
        <is>
          <t>Reusable setup by quarter (buy before the quarter starts)</t>
        </is>
      </c>
    </row>
    <row r="15" ht="15" customHeight="1" s="14">
      <c r="A15" s="16" t="inlineStr">
        <is>
          <t>Q1 reusable setup</t>
        </is>
      </c>
      <c r="B15" s="25">
        <f>SUMIFS(MASTER!$O$2:$O$81,MASTER!$K$2:$K$81,"Reusable",MASTER!$A$2:$A$81,"Q1")</f>
        <v/>
      </c>
      <c r="C15" s="26" t="inlineStr">
        <is>
          <t>Includes the year's big buys: lamps, goggles, model kits.</t>
        </is>
      </c>
    </row>
    <row r="16" ht="15" customHeight="1" s="14">
      <c r="A16" s="16" t="inlineStr">
        <is>
          <t>Q2 reusable setup</t>
        </is>
      </c>
      <c r="B16" s="25">
        <f>SUMIFS(MASTER!$O$2:$O$81,MASTER!$K$2:$K$81,"Reusable",MASTER!$A$2:$A$81,"Q2")</f>
        <v/>
      </c>
    </row>
    <row r="17" ht="15" customHeight="1" s="14">
      <c r="A17" s="16" t="inlineStr">
        <is>
          <t>Q3 reusable setup</t>
        </is>
      </c>
      <c r="B17" s="25">
        <f>SUMIFS(MASTER!$O$2:$O$81,MASTER!$K$2:$K$81,"Reusable",MASTER!$A$2:$A$81,"Q3")</f>
        <v/>
      </c>
      <c r="C17" s="26" t="inlineStr">
        <is>
          <t>Pop bead kits are the big line — see the paper-clip substitute on MASTER.</t>
        </is>
      </c>
    </row>
    <row r="18" ht="15" customHeight="1" s="14">
      <c r="A18" s="16" t="inlineStr">
        <is>
          <t>Q4 reusable setup</t>
        </is>
      </c>
      <c r="B18" s="25">
        <f>SUMIFS(MASTER!$O$2:$O$81,MASTER!$K$2:$K$81,"Reusable",MASTER!$A$2:$A$81,"Q4")</f>
        <v/>
      </c>
    </row>
    <row r="19" ht="15" customHeight="1" s="14">
      <c r="A19" s="16" t="n"/>
    </row>
    <row r="20" ht="35.05" customHeight="1" s="14">
      <c r="A20" s="16" t="inlineStr">
        <is>
          <t>Costs are rough estimates for the Total quantities — REVIEW WITH KATHERINE. Substitutes on MASTER cut the two big lines (lamps, model kits, pop beads) to near zero.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2026-08-08T08:29:47Z</dcterms:created>
  <dcterms:modified xmlns:dcterms="http://purl.org/dc/terms/" xmlns:xsi="http://www.w3.org/2001/XMLSchema-instance" xsi:type="dcterms:W3CDTF">2026-08-08T09:04:32Z</dcterms:modified>
  <cp:revision>0</cp:revision>
</cp:coreProperties>
</file>