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visible" name="Year Grid" sheetId="2" r:id="rId6"/>
    <sheet state="visible" name="Year Task Grid" sheetId="3" r:id="rId7"/>
    <sheet state="visible" name="Labs by date" sheetId="4" r:id="rId8"/>
    <sheet state="visible" name=" Lab Materials by Date" sheetId="5" r:id="rId9"/>
    <sheet state="visible" name="Cycle Calendar (dated)" sheetId="6" r:id="rId10"/>
    <sheet state="visible" name="Bio as List" sheetId="7" r:id="rId11"/>
    <sheet state="visible" name="A&amp;P as List" sheetId="8" r:id="rId12"/>
    <sheet state="visible" name="Forensics as List" sheetId="9" r:id="rId13"/>
    <sheet state="visible" name="File IDs (do not delete)" sheetId="10" r:id="rId14"/>
  </sheets>
  <definedNames>
    <definedName name="B3A12">Dashboard!$B$3</definedName>
    <definedName name="R3A1">'Year Grid'!$R$3</definedName>
    <definedName name="C7Z1">Dashboard!$C$7</definedName>
    <definedName name="D7P1B3">Dashboard!$D$7</definedName>
  </definedNames>
  <calcPr/>
</workbook>
</file>

<file path=xl/sharedStrings.xml><?xml version="1.0" encoding="utf-8"?>
<sst xmlns="http://schemas.openxmlformats.org/spreadsheetml/2006/main" count="2911" uniqueCount="1758">
  <si>
    <t>📅  TEACHER DASHBOARD — Master Agenda</t>
  </si>
  <si>
    <t>Lab Materials by Date — set up on the PRIOR Friday  ·  ⚠ materials inferred from lab names — confirm before ordering</t>
  </si>
  <si>
    <t>Prep &amp; Operations Grid — 2026–27  (recurring weekly rhythm; Thu/Fri point at the NEXT week)</t>
  </si>
  <si>
    <t>Master Agenda — Year Grid 2026–2027   |   Biology • Anatomy &amp; Physiology • Forensics   |   Dr. von Duyke</t>
  </si>
  <si>
    <t>SCHEDULE</t>
  </si>
  <si>
    <t>Teach week</t>
  </si>
  <si>
    <t>Today</t>
  </si>
  <si>
    <t>Lab day(s)</t>
  </si>
  <si>
    <t>🌿  BIOLOGY  — tagged by concept cycle (link → cycle folder)</t>
  </si>
  <si>
    <t>Prep on (prior Fri)</t>
  </si>
  <si>
    <t>Course</t>
  </si>
  <si>
    <t>Lab / activity</t>
  </si>
  <si>
    <t>Buy — groceries / consumables</t>
  </si>
  <si>
    <t>Reusable equipment</t>
  </si>
  <si>
    <t>Confirm?</t>
  </si>
  <si>
    <t>🫀  ANATOMY &amp; PHYSIOLOGY</t>
  </si>
  <si>
    <t>🔬  FORENSICS</t>
  </si>
  <si>
    <t>Wk / MP</t>
  </si>
  <si>
    <t>Wk 03</t>
  </si>
  <si>
    <t>Mon/Tue</t>
  </si>
  <si>
    <t>Fri Sep 11</t>
  </si>
  <si>
    <t>Wk</t>
  </si>
  <si>
    <t>Bio</t>
  </si>
  <si>
    <t>Dates / Off-days</t>
  </si>
  <si>
    <t>MP</t>
  </si>
  <si>
    <t>Autotroph vs heterotroph card sort</t>
  </si>
  <si>
    <t>Mon · 1 pd
WilmU + grading</t>
  </si>
  <si>
    <t>Quick Notes</t>
  </si>
  <si>
    <t>Cardstock (print sets)</t>
  </si>
  <si>
    <t>Tue · 2 pd
Deep work</t>
  </si>
  <si>
    <t>Bio Topic ↗
+ VT + Fiddle  (A-Day only)</t>
  </si>
  <si>
    <t>—</t>
  </si>
  <si>
    <t>Wed · 1 pd
Deep work</t>
  </si>
  <si>
    <t>✔ DIY print — no order item</t>
  </si>
  <si>
    <t>☀ Mon</t>
  </si>
  <si>
    <t>Thu · 2 pd
Review next wk + grading scans</t>
  </si>
  <si>
    <t>☀ Wed</t>
  </si>
  <si>
    <t>Fri
Set up next wk labs + groceries</t>
  </si>
  <si>
    <t>☀ Fri</t>
  </si>
  <si>
    <t>A&amp;P Topic ↗
+ VT + Fiddle</t>
  </si>
  <si>
    <t>Tue</t>
  </si>
  <si>
    <t>Thu</t>
  </si>
  <si>
    <t>🔵  THIS WEEK — Daily Plan at a Glance</t>
  </si>
  <si>
    <t>Forensics Topic ↗
+ VT + Fiddle  (both sections = A-Day)</t>
  </si>
  <si>
    <t>Fri (EOW)</t>
  </si>
  <si>
    <t>A&amp;P</t>
  </si>
  <si>
    <t>Gummy Bear Dissection (osmosis)</t>
  </si>
  <si>
    <t>Gummy bears, table salt</t>
  </si>
  <si>
    <t>Cups, balances</t>
  </si>
  <si>
    <t>────  MP 1  ────────────────────────────────────────────────────────────</t>
  </si>
  <si>
    <t>Wk 00
Pre</t>
  </si>
  <si>
    <t>✔ on order — gummy bears+salt, cups (Grocery line)</t>
  </si>
  <si>
    <t>Pre-service (late Aug 2026)</t>
  </si>
  <si>
    <t>📄 Agenda</t>
  </si>
  <si>
    <t>Mon</t>
  </si>
  <si>
    <t>Wk 04</t>
  </si>
  <si>
    <t>Set up classroom / WilmU prep</t>
  </si>
  <si>
    <t>Wed</t>
  </si>
  <si>
    <t>Fri Sep 18</t>
  </si>
  <si>
    <t>Fri</t>
  </si>
  <si>
    <t>Deep work / year setup</t>
  </si>
  <si>
    <t>🎞 VT</t>
  </si>
  <si>
    <t>Viewing Human Cells</t>
  </si>
  <si>
    <t>Methylene blue, toothpicks (cheek cells)</t>
  </si>
  <si>
    <t>Microscopes, slides, coverslips</t>
  </si>
  <si>
    <t>⚠ ADD methylene blue (not on order); toothpicks ✔</t>
  </si>
  <si>
    <t xml:space="preserve"> Review Wk 01: Introduction to Biology / Course Overview &amp; First Day / Forensics: First Day &amp; Classroom Rules / Procedures → see Review Links tab</t>
  </si>
  <si>
    <t>🌿 Biology</t>
  </si>
  <si>
    <t>① Set up Wk 01 labs (light)
② First grocery list → Lab Materials tab</t>
  </si>
  <si>
    <t>Wk 06</t>
  </si>
  <si>
    <t>Wed/Thu</t>
  </si>
  <si>
    <t>Fri Oct 02</t>
  </si>
  <si>
    <t>Leaf Disc Photosynthesis Lab</t>
  </si>
  <si>
    <t>Wk 01</t>
  </si>
  <si>
    <t>Baby spinach, baking soda, dish soap</t>
  </si>
  <si>
    <t>Syringes (no needle), hole punch, clear cups, lamp</t>
  </si>
  <si>
    <t>⚠ ADD syringes (not on order); 🛒 spinach+baking soda; dish soap+cups ✔</t>
  </si>
  <si>
    <t>Wk 01
MP1</t>
  </si>
  <si>
    <t>Aug 31 – Sep 04, 2026
⚠ Fri Schools Closed 9/4</t>
  </si>
  <si>
    <t>MP 1</t>
  </si>
  <si>
    <t>WilmU attendance + grading</t>
  </si>
  <si>
    <t>Deep work (your choice)</t>
  </si>
  <si>
    <t>Aug 31 – Sep 04, 2026
⚠ Fri 09/04 Schools Closed</t>
  </si>
  <si>
    <t xml:space="preserve"> Review Wk 02: Ecosystems &amp; Change / Introduction to Anatomy / Forensics: Lab Safety, Equipment &amp; the Microscope → see Review Links tab</t>
  </si>
  <si>
    <t>✔️add cartoon to schoology, just notes turned in this week</t>
  </si>
  <si>
    <t>OFF — Schools Closed 9/4</t>
  </si>
  <si>
    <t>Viewing Skin Cells</t>
  </si>
  <si>
    <t>Prepared skin slides, microscopes</t>
  </si>
  <si>
    <t>✔ on order — prepared histology slides</t>
  </si>
  <si>
    <t>8/31
Syllabus · pretest · sign safety sheet · learn to submit Notes (short)</t>
  </si>
  <si>
    <t>Wk 02
MP1</t>
  </si>
  <si>
    <t>Wk 08</t>
  </si>
  <si>
    <t>Sep 07 – Sep 11, 2026
⚠ Mon Labor Day 9/7</t>
  </si>
  <si>
    <t>9/2
Lab Safety lecture · Lab Equipment activity · safety cartoon · learn to submit Drafts (long)
Notes.Introduction to Biology due 9/2</t>
  </si>
  <si>
    <t>Fri Oct 16</t>
  </si>
  <si>
    <t>OFF — Labor Day 9/7</t>
  </si>
  <si>
    <t>9/4
OFF — Schools Closed 9/4  (intro week: Notes only)</t>
  </si>
  <si>
    <t>Yeast Fermentation Lab (CO₂)</t>
  </si>
  <si>
    <t>Active dry yeast, sugar, balloons</t>
  </si>
  <si>
    <t>Plastic bottles, measuring spoons, warm-water bath</t>
  </si>
  <si>
    <t xml:space="preserve"> Review Wk 03: Intro to Energy / Intro to Anatomy (cont.) / Forensics: Observation Skills &amp; Deductive Reasoning → see Review Links tab</t>
  </si>
  <si>
    <t>✔ on order — yeast, balloons, water bath, straws; 🛒 sugar</t>
  </si>
  <si>
    <t>Course Overview &amp; First Day Activities ↗
— Activities —
• Fiddle (slides): "Body Basics" myth-buster poll (Kahoot)
• Short: Who Knew? icebreaker · Body Parts Chalk Outline (group)
• Long: Academic Integrity / Bioethics intro case + Hippocratic Oath discussion
• Alts: Visible Body free tour clip / "what does a physiologist do?" think-pair-share / syllabus scavenger hunt</t>
  </si>
  <si>
    <t>① Set up labs for Wk 03
② Grocery / materials list → Lab Materials tab</t>
  </si>
  <si>
    <t>9/1
Tue: Who Knew? (icebreaker) · Syllabus &amp; topics</t>
  </si>
  <si>
    <t>9/3
Thu: Body Parts Chalk Outline · Academic Integrity
+ Bioethics Intro Case (discussion) · Hippocratic Oath (moved from Fri 9/4 — closed)</t>
  </si>
  <si>
    <t>9/4
OFF — Schools Closed</t>
  </si>
  <si>
    <t>First Day of School &amp; Classroom Rules and Procedures
VT
Folder</t>
  </si>
  <si>
    <t>Wk 03
MP1</t>
  </si>
  <si>
    <t>Bone Fractures with Carrots</t>
  </si>
  <si>
    <t>Carrots</t>
  </si>
  <si>
    <t>Sep 14 – Sep 18, 2026
⚠ Tue In-Service 9/15</t>
  </si>
  <si>
    <t>Trays</t>
  </si>
  <si>
    <t>✔ on order — carrots+vinegar, trays</t>
  </si>
  <si>
    <t>OFF — In-Service 9/15</t>
  </si>
  <si>
    <t xml:space="preserve"> Review Wk 04: Energy Flow / Cell Structure &amp; Function / Forensics: Eyewitness Testimony &amp; The Innocence Project → see Review Links tab</t>
  </si>
  <si>
    <t>① Set up labs for Wk 04
② Grocery / materials list → Lab Materials tab</t>
  </si>
  <si>
    <t>Wk 11</t>
  </si>
  <si>
    <t>Fri Nov 06</t>
  </si>
  <si>
    <t>Chicken Wing Dissection</t>
  </si>
  <si>
    <t>Raw chicken wings, nitrile gloves</t>
  </si>
  <si>
    <t>Dissection kits, trays</t>
  </si>
  <si>
    <t>✔ on order — chicken wings, trays; confirm glove stock</t>
  </si>
  <si>
    <t>Wk 04
MP1</t>
  </si>
  <si>
    <t>Sep 21 – Sep 25, 2026
⚠ Mon Schools Closed 9/21</t>
  </si>
  <si>
    <t>OFF — Schools Closed 9/21</t>
  </si>
  <si>
    <t>8/31
First day — rules &amp; procedures</t>
  </si>
  <si>
    <t>Wk 12</t>
  </si>
  <si>
    <t>9/2
Syllabus + intro to forensic science</t>
  </si>
  <si>
    <t>Fri Nov 13</t>
  </si>
  <si>
    <t xml:space="preserve"> Review Wk 05: Biogeochemical Cycles / Cell Structure (cont.) / Forensics: Investigative Processes &amp; Types of Evidence → see Review Links tab</t>
  </si>
  <si>
    <t>9/4
Course overview / intro activity</t>
  </si>
  <si>
    <t>① Set up labs for Wk 05
② Grocery / materials list → Lab Materials tab</t>
  </si>
  <si>
    <t>Organelle Stations (plant vs animal)</t>
  </si>
  <si>
    <t>Cardstock (station cards)</t>
  </si>
  <si>
    <t>Microscopes (optional)</t>
  </si>
  <si>
    <t>Wk 02</t>
  </si>
  <si>
    <t>Sep 07 – Sep 11, 2026
⚠ Mon 09/07 Labor Day</t>
  </si>
  <si>
    <t>Wk 14</t>
  </si>
  <si>
    <t>Wk 05
MP1</t>
  </si>
  <si>
    <t>Fri Nov 27</t>
  </si>
  <si>
    <t>Sep 28 – Oct 02, 2026</t>
  </si>
  <si>
    <t>Membrane Bubble Lab</t>
  </si>
  <si>
    <t>Dish soap / bubble solution, glycerin</t>
  </si>
  <si>
    <t>🫀 Anatomy &amp; Physiology</t>
  </si>
  <si>
    <t>Straws, trays, string</t>
  </si>
  <si>
    <t>✔ on order — dish soap, glycerol, straws, string, trays</t>
  </si>
  <si>
    <t>9/7
OFF — Labor Day 9/7</t>
  </si>
  <si>
    <t>9/9
Intro to Ecology lesson + Habitats game · Feeding relationships food-web (NW) write-up (short→long)
Notes.Ecosystems &amp; Change due 9/9</t>
  </si>
  <si>
    <t xml:space="preserve"> Review Wk 06: Photosynthesis / Body Tissues / Forensics: Searching &amp; Photographing the Scene → see Review Links tab</t>
  </si>
  <si>
    <t>① Set up labs for Wk 06
② Grocery / materials list → Lab Materials tab</t>
  </si>
  <si>
    <t>Wk 15</t>
  </si>
  <si>
    <t>9/11
Finish labs/activities · catch-up  (no Draft — Wk01 Intro to Biology was Notes only)</t>
  </si>
  <si>
    <t>Fri Dec 04</t>
  </si>
  <si>
    <t>Introduction to Anatomy ↗
— Activities — (CA: homeostasis via feedback)
• Fiddle (slides): LabXchange body-systems explorer / pulse-after-jumping-jacks demo
• Short: Kati Mori marathon case — predict the feedback response
• Long: Feedback Loops modeling — negative vs positive (core CA)
• Alts: HHMI homeostasis clip / Why Do We Need Air Pressure? reasoning / Body Regions–Cavities labels (open-book ref)</t>
  </si>
  <si>
    <t>Osmosis Lab (egg / potato)</t>
  </si>
  <si>
    <t>Raw eggs, potatoes, salt, white vinegar, corn syrup</t>
  </si>
  <si>
    <t>Wk 06
MP1</t>
  </si>
  <si>
    <t>Beakers/cups, balance</t>
  </si>
  <si>
    <t>9/8
Tue: Lesson: Introduction to Anatomy · Case: Kati Mori (marathon)</t>
  </si>
  <si>
    <t>Oct 05 – Oct 09, 2026</t>
  </si>
  <si>
    <t>✔ potato cores, vinegar, salt on order; 🛒 eggs+corn syrup</t>
  </si>
  <si>
    <t>9/10
Thu: Feedback Loops (homeostasis — core)</t>
  </si>
  <si>
    <t>9/11
Fri: Why Do We Need Air Pressure?  · Open-book ref (don't memorize): Body Regions / Body Cavities labels, Body Systems organizer</t>
  </si>
  <si>
    <t xml:space="preserve"> Review Wk 07: Cellular Respiration / Body Tissues (cont.) / Forensics: Sketching the Scene &amp; Evidence Collection → see Review Links tab</t>
  </si>
  <si>
    <t>Lab Safety, Lab Equipment &amp; The Microscope
Folder</t>
  </si>
  <si>
    <t>① Set up labs for Wk 07
② Grocery / materials list → Lab Materials tab</t>
  </si>
  <si>
    <t>Wk 16</t>
  </si>
  <si>
    <t>Wk 07
MP1</t>
  </si>
  <si>
    <t>Oct 12 – Oct 16, 2026
⚠ Fri In-Service 10/16</t>
  </si>
  <si>
    <t>Fri Dec 11</t>
  </si>
  <si>
    <t>Enzyme Lab (liver-catalase / toothpickase)</t>
  </si>
  <si>
    <t xml:space="preserve"> Review Wk 08: Fermentation / Skeletal System / Forensics: History of Forensics → see Review Links tab</t>
  </si>
  <si>
    <t>Fresh chicken/beef liver, 3% hydrogen peroxide, toothpicks</t>
  </si>
  <si>
    <t>OFF — In-Service 10/16</t>
  </si>
  <si>
    <t>Test tubes, timer, gloves</t>
  </si>
  <si>
    <t>9/7
⚠ Labor Day — no school</t>
  </si>
  <si>
    <t>⚠ ADD 3% hydrogen peroxide (not on order); 🛒 liver; toothpicks+rack ✔</t>
  </si>
  <si>
    <t>9/9
Lab safety + equipment ID</t>
  </si>
  <si>
    <t>9/11
The microscope — intro &amp; use</t>
  </si>
  <si>
    <t>Wk 08
MP1</t>
  </si>
  <si>
    <t>Oct 19 – Oct 23, 2026</t>
  </si>
  <si>
    <t>Sep 14 – Sep 18, 2026
⚠ Tue 09/15 Teacher In-Service</t>
  </si>
  <si>
    <t>◆ Cycle 02 · Ecosystems &amp; Feeding
Intro to Energy (VT Inserts — autotrophs/heterotrophs + energy loss)
VT
Folder</t>
  </si>
  <si>
    <t>Wk 17</t>
  </si>
  <si>
    <t xml:space="preserve"> Review Wk 09: Ecological Succession / Skeletal System (cont.) / Forensics: Unit Review &amp; Assessment → see Review Links tab</t>
  </si>
  <si>
    <t>Fri Jan 01</t>
  </si>
  <si>
    <t>① Set up labs for Wk 09
② Grocery / materials list → Lab Materials tab</t>
  </si>
  <si>
    <t>Sheep Brain Dissection</t>
  </si>
  <si>
    <t>Preserved sheep brains, nitrile gloves</t>
  </si>
  <si>
    <t>✔ on order — sheep brains (Carolina PM3095), trays</t>
  </si>
  <si>
    <t>9/14
Intro to Energy lesson · Autotroph vs heterotroph card sort (short)
📝 DRAFT.Ecosystems &amp; Change due 9/14</t>
  </si>
  <si>
    <t>9/16
Energy-loss pyramid / 10% rule stations + write-up (long)
Notes.Intro to Energy due 9/16</t>
  </si>
  <si>
    <t>9/18
Finish labs/activities</t>
  </si>
  <si>
    <t>Introduction to Anatomy (cont.) ↗
— Activities —
• Fiddle (slides): directional-terms quick drill (Kenhub free)
• Short: A Promising Therapy for Diabetes — case read
• Long: Gummy Bear Dissection (osmosis → homeostasis link)
• Alts: anatomical-position charades / planes &amp; sections image sort / Review Guide (open-book) before Unit Exam</t>
  </si>
  <si>
    <t>Wk 09
MP1</t>
  </si>
  <si>
    <t>9/15
OFF — In-Service</t>
  </si>
  <si>
    <t>Oct 26 – Oct 30, 2026</t>
  </si>
  <si>
    <t>9/17
Thu: Case: A Promising Therapy for Diabetes
+ Lab: Gummy Bear Dissection (moved from Tue 9/15 — in-service)</t>
  </si>
  <si>
    <t>9/18
Fri: Review Guide (open-book)  · 📝 UNIT EXAM — Introduction to Anatomy</t>
  </si>
  <si>
    <t>Observation Skills &amp; Deductive Reasoning
VT
Folder</t>
  </si>
  <si>
    <t>Wk 19</t>
  </si>
  <si>
    <t>Fri Jan 15</t>
  </si>
  <si>
    <t xml:space="preserve"> Review Wk 10: Population Ecology / Skeletal Lab Practical / Forensics: Mock Crime Scene → see Review Links tab</t>
  </si>
  <si>
    <t>Onion Root Tip Mitosis</t>
  </si>
  <si>
    <t>① Set up labs for Wk 10
② Grocery / materials list → Lab Materials tab</t>
  </si>
  <si>
    <t>Onions (to grow roots) — or prepared slides</t>
  </si>
  <si>
    <t>Microscopes, slides</t>
  </si>
  <si>
    <t>9/14
Intro to Forensics + Eyewitness — lesson + short: eyewitness account analysis</t>
  </si>
  <si>
    <t>⚠ order has onion EPIDERMIS strips (plasmolysis), NOT root-tip — add onions / root-tip slides</t>
  </si>
  <si>
    <t>9/16
CSI overview activity · 📝 Notes due</t>
  </si>
  <si>
    <t>9/18
Catch-up / flex (EOW)</t>
  </si>
  <si>
    <t>Wk 10
MP2</t>
  </si>
  <si>
    <t>Nov 02 – Nov 06, 2026
⚠ Tue Election Day 11/3</t>
  </si>
  <si>
    <t>OFF — Election Day 11/3</t>
  </si>
  <si>
    <t>Wk 21</t>
  </si>
  <si>
    <t>Sep 21 – Sep 25, 2026
⚠ Mon 09/21 Schools Closed</t>
  </si>
  <si>
    <t xml:space="preserve"> Review Wk 11: Intro to Cells / Muscular System / Forensics: Arson → see Review Links tab</t>
  </si>
  <si>
    <t>Fri Jan 29</t>
  </si>
  <si>
    <t>① Set up labs for Wk 11
② Grocery / materials list → Lab Materials tab</t>
  </si>
  <si>
    <t>🔬 Forensics</t>
  </si>
  <si>
    <t>Stem-cell clay tissue models</t>
  </si>
  <si>
    <t>Modeling clay (multi-color)</t>
  </si>
  <si>
    <t>⚠ ADD modeling clay (not on order)</t>
  </si>
  <si>
    <t>9/21
OFF — Schools Closed 9/21</t>
  </si>
  <si>
    <t>Wk 11
MP2</t>
  </si>
  <si>
    <t>Nov 09 – Nov 13, 2026
⚠ Wed Veterans Day 11/11</t>
  </si>
  <si>
    <t>9/23
Energy Flow lesson + arrow draw · Energy Flow Stations + write-up, label vocab (short→long)
Notes.Energy Flow due 9/23
📝 DRAFT.Intro to Energy due 9/23 (Mon off)</t>
  </si>
  <si>
    <t>OFF — Veterans Day 11/11</t>
  </si>
  <si>
    <t>9/25
Finish labs/activities</t>
  </si>
  <si>
    <t xml:space="preserve"> Review Wk 12: Cell Organelles / Muscular System (cont.) / Forensics: Ballistics → see Review Links tab</t>
  </si>
  <si>
    <t>Cell Structure and Function ↗
— Activities —
• Fiddle (slides): BioMan Cell Explorer / Learn.Genetics Cell Size &amp; Scale
• Short: Mackenzie (PCD) case — cilia structure→function
• Long: Viewing Human Cells (microscope lab)
• Alts: build-a-cell organelle sort / CER on Mitochondria &amp; Aging / Cell Graphic Organizer (open-book ref)</t>
  </si>
  <si>
    <t>① Set up labs for Wk 12
② Grocery / materials list → Lab Materials tab</t>
  </si>
  <si>
    <t>9/22
Tue: Lesson: Cell Structure &amp; Function · Case: Mackenzie (PCD)</t>
  </si>
  <si>
    <t>9/24
Thu: Lab: Viewing Human Cells</t>
  </si>
  <si>
    <t>9/25
Fri: Mitochondria and Aging (CER)  · Open-book ref: Cell Graphic Organizer</t>
  </si>
  <si>
    <t>Cow Eye Dissection</t>
  </si>
  <si>
    <t>Eye Witness Testimony &amp; The Innocence Project
VT
Folder</t>
  </si>
  <si>
    <t>Preserved cow eyes, nitrile gloves</t>
  </si>
  <si>
    <t>✔ on order — cow eyes, trays</t>
  </si>
  <si>
    <t>Wk 12
MP2</t>
  </si>
  <si>
    <t>Nov 16 – Nov 20, 2026</t>
  </si>
  <si>
    <t>9/21
OFF — Schools Closed</t>
  </si>
  <si>
    <t>9/23
Investigative Processes (Steps of CSI) + Types of Evidence — lesson (moved from Mon 9/21 — closed)
+ Evidence-type stations · 📝 Notes due
📝 DRAFT.Intro to Forensics + Eyewitness Accounts due 9/23 (Mon off)</t>
  </si>
  <si>
    <t>① Review Wk 13: Thanksgiving Break / —  → see Review Links tab
② Grading scans: new Notes + finished Drafts</t>
  </si>
  <si>
    <t>9/25
Catch-up / flex (EOW)</t>
  </si>
  <si>
    <t>① Set up labs for Wk 13
② Grocery / materials list → Lab Materials tab</t>
  </si>
  <si>
    <t>Wk 22</t>
  </si>
  <si>
    <t>Wk 05</t>
  </si>
  <si>
    <t>Fri Feb 05</t>
  </si>
  <si>
    <t>Wk 13
MP2</t>
  </si>
  <si>
    <t>Nov 23 – Nov 25, 2026
⚠ Wed Thanksgiving, Thu Thanksgiving, Fri Thanksgiving</t>
  </si>
  <si>
    <t>HASPI Stress Response Lab</t>
  </si>
  <si>
    <t>— Thanksgiving Break —</t>
  </si>
  <si>
    <t>Stopwatch / pulse monitors (worksheet-based)</t>
  </si>
  <si>
    <t>OFF — Thanksgiving</t>
  </si>
  <si>
    <t>✔ worksheet-based — no consumables</t>
  </si>
  <si>
    <t>9/28
Biogeochemical Cycles lesson · HHMI 'The Tree' carbon intro – Part 1 (short)
📝 DRAFT.Energy Flow due 9/28</t>
  </si>
  <si>
    <t>9/30
Journey through the Carbon Cycle sim – Part 2 + write-up (long)
Notes.Biogeochemical Cycles due 9/30</t>
  </si>
  <si>
    <t>10/2
Finish labs/activities</t>
  </si>
  <si>
    <t>Cell Structure and Function (cont.) ↗
— Activities —
• Fiddle (slides): PhET / BioMan osmosis sim
• Short: Medical Errors (IV Fluids) — tonicity application
• Long: Mitosis, Cancer &amp; Vaccines case stations
• Alts: HHMI Cell Cycle &amp; Cancer clip / osmosis egg demo / Cell Cycle–Disorders organizer (open-book) before Unit Exam</t>
  </si>
  <si>
    <t>9/29
Tue: Medical Errors (IV Fluids) — osmosis application</t>
  </si>
  <si>
    <t>Wk 14
MP2</t>
  </si>
  <si>
    <t>10/1
Thu: Case: Mitosis, Cancer &amp; Vaccines 🦄</t>
  </si>
  <si>
    <t>Nov 30 – Dec 04, 2026</t>
  </si>
  <si>
    <t>10/2
Fri: Open-book review  · 📝 UNIT EXAM — Cells  · ref: Cell Cycle / Cell Disorders organizers</t>
  </si>
  <si>
    <t>Investigative Processes &amp; Types of Evidence
VT
Folder</t>
  </si>
  <si>
    <t>Wk 23</t>
  </si>
  <si>
    <t xml:space="preserve"> Review Wk 15: Cell Transport / Muscles (Naming, cont.) / Forensics: DNA Profiling (Part 1) → see Review Links tab</t>
  </si>
  <si>
    <t>Fri Feb 12</t>
  </si>
  <si>
    <t>① Set up labs for Wk 15
② Grocery / materials list → Lab Materials tab</t>
  </si>
  <si>
    <t>Monster Genetics / pea-cross activity</t>
  </si>
  <si>
    <t>Coins or dice, cardstock</t>
  </si>
  <si>
    <t>9/28
Observation &amp; deductive-reasoning practice (not VT)
📝 DRAFT.Investigative Processes (Steps of CSI) + Types of Evidence due 9/28</t>
  </si>
  <si>
    <t>Wk 15
MP2</t>
  </si>
  <si>
    <t>✔ pea seeds on order (if real cross); dice/coins owned</t>
  </si>
  <si>
    <t>Dec 07 – Dec 11, 2026
⚠ Fri In-Service 12/11</t>
  </si>
  <si>
    <t>9/30
Observation lab / reasoning puzzles</t>
  </si>
  <si>
    <t>10/2
Catch-up / flex (EOW)</t>
  </si>
  <si>
    <t xml:space="preserve"> Review Wk 16: Enzymes / Nervous System / Forensics: DNA Profiling (Part 2) → see Review Links tab</t>
  </si>
  <si>
    <t>OFF — In-Service 12/11</t>
  </si>
  <si>
    <t>Wk 24</t>
  </si>
  <si>
    <t>Fri Feb 19</t>
  </si>
  <si>
    <t>Hematocrit Investigation</t>
  </si>
  <si>
    <t>Simulated blood kit</t>
  </si>
  <si>
    <t>Centrifuge tubes (sim)</t>
  </si>
  <si>
    <t>⚠ confirm hematocrit sim — ABO kit covers typing only</t>
  </si>
  <si>
    <t>10/5
Photosynthesis lesson · molecular build of the equation – Photosyn 1 (short)
📝 DRAFT.Biogeochemical Cycles due 10/5</t>
  </si>
  <si>
    <t>10/7
Leaf disc lab – Photosyn 2 + write-up (long)
Notes.Photosynthesis due 10/7</t>
  </si>
  <si>
    <t>10/9
Finish labs/activities</t>
  </si>
  <si>
    <t>Body Tissues ↗
— Activities —
• Fiddle (slides): tissue-ID slideshow drill (Biology Corner)
• Short: Ella (epidermolysis bullosa) — skin structure→function
• Long: Viewing Skin Cells (microscope lab)
• Alts: 4-tissue-types card sort / What Causes Goosebumps? reasoning / Epidermis Labeling + Tissues Chart (open-book ref)</t>
  </si>
  <si>
    <t>10/6
Tue: Lesson: Body Tissues · Case: Ella (epidermolysis bullosa)</t>
  </si>
  <si>
    <t>Wk 16
MP2</t>
  </si>
  <si>
    <t>10/8
Thu: Lab: Viewing Skin Cells</t>
  </si>
  <si>
    <t>10/9
Fri: What Causes Goosebumps?  · Open-book ref (don't memorize): Epidermis Labeling, Tissues Chart</t>
  </si>
  <si>
    <t>Dec 14 – Dec 18, 2026</t>
  </si>
  <si>
    <t>Searching the Scene &amp; Photographing the Crime Scene
VT
Folder</t>
  </si>
  <si>
    <t>Punnett square stations</t>
  </si>
  <si>
    <t xml:space="preserve"> Review Wk 17: Cellular Respiration &amp; Glycolysis / Nervous System (cont.) / Forensics: DNA Profiling (Part 3) &amp; Fibers → see Review Links tab</t>
  </si>
  <si>
    <t>① Set up labs for Wk 17
② Grocery / materials list → Lab Materials tab</t>
  </si>
  <si>
    <t>10/5
Searching the Scene + Crime Scene Photography — lesson + short</t>
  </si>
  <si>
    <t>10/7
Search-patterns activity · 📝 Notes due</t>
  </si>
  <si>
    <t>10/9
Catch-up / flex (EOW)</t>
  </si>
  <si>
    <t>Wk 07</t>
  </si>
  <si>
    <t>Wk 25</t>
  </si>
  <si>
    <t>Oct 12 – Oct 16, 2026
⚠ Fri 10/16 In-Service — Schools Closed</t>
  </si>
  <si>
    <t>Fri Feb 26</t>
  </si>
  <si>
    <t>Blood Typing Lab (simulated)</t>
  </si>
  <si>
    <t>Simulated blood typing kit (anti-A/B/Rh)</t>
  </si>
  <si>
    <t>Well plates, toothpicks</t>
  </si>
  <si>
    <t>✔ on order — ABO kit (Flinn FB1229), toothpicks</t>
  </si>
  <si>
    <t>Wk 16b
MP2</t>
  </si>
  <si>
    <t>10/12
Cellular Respiration lesson · respiration fiddle game + worksheet (short)
📝 DRAFT.Photosynthesis due 10/12</t>
  </si>
  <si>
    <t>Dec 21 – Dec 22, 2026
⚠ Mon–Tue only · break begins 12/23</t>
  </si>
  <si>
    <t>10/14
Photosynthesis vs respiration comparison + write-up (long)
Notes.Cellular Respiration due 10/14</t>
  </si>
  <si>
    <t>Catch-up / grading — clear the MP2 backlog</t>
  </si>
  <si>
    <t>10/16
OFF — In-Service (Schools Closed)</t>
  </si>
  <si>
    <t>Body Tissues (cont.) ↗
— Activities —
• Fiddle (slides): HHMI Biology of Skin Color interactive
• Short: Gene Therapy for Butterfly Children (bioethics)
• Long: melanin / skin-color data interpretation (HHMI)
• Alts: connective-tissue coloring / tissue-reinforcement worksheet / histology microscope rotation before Unit Exam</t>
  </si>
  <si>
    <t>OFF — Winter Break</t>
  </si>
  <si>
    <t>Wk 26</t>
  </si>
  <si>
    <t>10/13
Tue: Gene Therapy for Butterfly Children (bioethics case)
+ Biology of Skin Color (HHMI interactive) (moved from Thu 10/15)</t>
  </si>
  <si>
    <t>10/15
Thu: 📝 UNIT EXAM — Body Tissues (moved from Fri 10/16 — in-service) · Open-book review · ref: Connective Tissue Coloring, Tissue Reinforcement</t>
  </si>
  <si>
    <t>Fri Mar 05</t>
  </si>
  <si>
    <t>Sketching the Scene &amp; Evidence Collection
VT
Folder</t>
  </si>
  <si>
    <t>Candy DNA Model</t>
  </si>
  <si>
    <t>Twizzlers/licorice, 4-color gumdrops or mini-marshmallows, toothpicks</t>
  </si>
  <si>
    <t>✔ toothpicks on order; 🛒 licorice+gumdrops</t>
  </si>
  <si>
    <t>10/12
Sketching the Scene + Evidence Collection — lesson + short
📝 DRAFT.Searching the Scene + Crime Scene Photography due 10/12</t>
  </si>
  <si>
    <t>10/14
Rough-to-scale sketch (long) · 📝 Notes due</t>
  </si>
  <si>
    <t>Wk 27</t>
  </si>
  <si>
    <t>Wk 17
MP2</t>
  </si>
  <si>
    <t>Jan 04 – Jan 08, 2027</t>
  </si>
  <si>
    <t>Fri Mar 12</t>
  </si>
  <si>
    <t>DNA Replication modeling</t>
  </si>
  <si>
    <t>Pipe cleaners, pop/pony beads</t>
  </si>
  <si>
    <t xml:space="preserve"> Review Wk 18: Cell Regulation &amp; Cancer / Semester 1 Final / Forensics: Fibers → see Review Links tab</t>
  </si>
  <si>
    <t>✔ on order — pipe cleaners, pop beads</t>
  </si>
  <si>
    <t>① Set up labs for Wk 18
② Grocery / materials list → Lab Materials tab</t>
  </si>
  <si>
    <t>10/19
Fermentation lesson · yeast-balloon quick demo (short)
📝 DRAFT.Cellular Respiration due 10/19</t>
  </si>
  <si>
    <t>10/21
Yeast fermentation lab — measure CO₂ + write-up (long)
Notes.Fermentation due 10/21</t>
  </si>
  <si>
    <t>10/23
Finish labs/activities</t>
  </si>
  <si>
    <t>Skeletal System ↗
— Activities — (VT deck CAs: #1 bone is living → #2 axial vs appendicular → #3 structure fits function)
• Fiddle (slides): eSkeletons.org bone rotator (UT Austin)
• Short: "Is bone alive?" osteoblast/osteoclast/osteocyte sort (#1)
• Long: Bone Fractures with Carrots — structure fits function (#3)
• Alts: axial vs appendicular card sort (#2) / FOP (Jasmin) build-vs-break case / Long Bone + Bone Matrix coloring (open-book ref)</t>
  </si>
  <si>
    <t>10/20
Tue: #1 bone is living · #2 axial vs appendicular — Lesson: Skeletal System (VT) · Case: FOP (Jasmin)</t>
  </si>
  <si>
    <t>10/22
Thu: #3 structure fits function — Lab: Bone Fractures with Carrots · ref: Long Bone / Bone Matrix coloring</t>
  </si>
  <si>
    <t>10/23
Fri: build vs break balance (master idea) — Bone Dysplasias 🦄 + FOP mechanism</t>
  </si>
  <si>
    <t>History of Forensics
VT
Folder</t>
  </si>
  <si>
    <t>Wk 18
MP2</t>
  </si>
  <si>
    <t>Heart Dissection</t>
  </si>
  <si>
    <t>10/19
History of Forensics + Crime Scene to Courtroom + Innocence Project — lesson
📝 DRAFT.Sketching the Scene + Evidence Collection (chain of custody) due 10/19</t>
  </si>
  <si>
    <t>Preserved sheep/pig hearts, nitrile gloves</t>
  </si>
  <si>
    <t>Jan 11 – Jan 15, 2027</t>
  </si>
  <si>
    <t>10/21
Mock trial (Sheppard reveal) + timeline · 📝 Notes due</t>
  </si>
  <si>
    <t>10/23
Catch-up / flex (EOW)</t>
  </si>
  <si>
    <t>✔ on order — sheep hearts, trays</t>
  </si>
  <si>
    <t xml:space="preserve"> Review Wk 19: The Cell Cycle / — / Forensics: Hair → see Review Links tab</t>
  </si>
  <si>
    <t>Wk 09</t>
  </si>
  <si>
    <t>① Set up labs for Wk 19
② Grocery / materials list → Lab Materials tab</t>
  </si>
  <si>
    <t>Wk 29</t>
  </si>
  <si>
    <t>10/26
Ecological Succession lesson · primary vs secondary card sequence (short)
📝 DRAFT.Fermentation due 10/26</t>
  </si>
  <si>
    <t>10/28
Succession case-study model build + write-up (long)
Notes.Ecological Succession due 10/28</t>
  </si>
  <si>
    <t>Fri Mar 26</t>
  </si>
  <si>
    <t>10/30
Finish labs/activities</t>
  </si>
  <si>
    <t>Skeletal System (cont.) ↗
— Activities — (CA#4 joints → range of motion → #5 fracture → force → #6 bones reveal identity)
• Fiddle (slides): GetBodySmart skeleton/joints interactive
• Short: classify-your-own-joints (CA#4) · Skeleton/Skull labeling (open-book ref)
• Long: Identifying X-rays — fracture pattern → force (CA#5)
• Alts: Mystery of the Bones (CA#6) / Estimate Height from long bones → preps Wk10 practical / Bones of the Hand labeling</t>
  </si>
  <si>
    <t>Pipe-cleaner Chromosome Build</t>
  </si>
  <si>
    <t>Wk 19
MP3</t>
  </si>
  <si>
    <t>10/27
Tue: #4 joints → range of motion — classify-your-own-joints · Open-book ref: Skeleton &amp; Skull labeling, Bones of Hand</t>
  </si>
  <si>
    <t>Pipe cleaners, beads</t>
  </si>
  <si>
    <t>10/29
Thu: #5 fracture pattern → force — Identifying X-rays</t>
  </si>
  <si>
    <t>Jan 18 – Jan 22, 2027
⚠ Mon MLK Day 1/18</t>
  </si>
  <si>
    <t>10/30
Fri: #6 bones reveal identity — Mystery of the Bones 🦄 + Estimate Height (lab) → Wk 10 Lab Practical</t>
  </si>
  <si>
    <t>✔ on order — pipe cleaners, colored beads</t>
  </si>
  <si>
    <t>Unit Review &amp; Assessment
Folder</t>
  </si>
  <si>
    <t>OFF — MLK Day 1/18</t>
  </si>
  <si>
    <t xml:space="preserve"> Review Wk 20: Asexual &amp; Sexual Reproduction / Senses / Forensics: Unit 2 Review &amp; Exam → see Review Links tab</t>
  </si>
  <si>
    <t>10/26
Unit 1 — Review
📝 DRAFT.History of Forensics + Crime Scene to Courtroom + Innocence Project due 10/26</t>
  </si>
  <si>
    <t>10/28
📝 Unit 1 Assessment</t>
  </si>
  <si>
    <t>① Set up labs for Wk 20
② Grocery / materials list → Lab Materials tab</t>
  </si>
  <si>
    <t>10/30
Catch-up / flex (EOW)</t>
  </si>
  <si>
    <t>Measuring Blood Pressure</t>
  </si>
  <si>
    <t>Sphygmomanometers (BP cuffs), stethoscopes</t>
  </si>
  <si>
    <t>⚠ BP cuffs + stethoscopes NOT on order — confirm classroom set</t>
  </si>
  <si>
    <t>────  MP 2  ────────────────────────────────────────────────────────────</t>
  </si>
  <si>
    <t>Wk 30</t>
  </si>
  <si>
    <t>Wk 20
MP3</t>
  </si>
  <si>
    <t>Fri Apr 02</t>
  </si>
  <si>
    <t>Jan 25 – Jan 29, 2027
⚠ Mon In-Service 1/25</t>
  </si>
  <si>
    <t>Wk 10</t>
  </si>
  <si>
    <t>OFF — In-Service 1/25</t>
  </si>
  <si>
    <t>Model the Alimentary Canal with String</t>
  </si>
  <si>
    <t>MP 2</t>
  </si>
  <si>
    <t>String / yarn</t>
  </si>
  <si>
    <t>Tape measures, scissors</t>
  </si>
  <si>
    <t>Nov 02 – Nov 06, 2026
⚠ Tue 11/3 Election Day — Schools Closed</t>
  </si>
  <si>
    <t>✔ on order — string/yarn, measuring tapes</t>
  </si>
  <si>
    <t xml:space="preserve"> Review Wk 21: Stem Cell Differentiation / Senses (cont.) / Forensics: (see Review Links tab) → see Review Links tab</t>
  </si>
  <si>
    <t>① Set up labs for Wk 21
② Grocery / materials list → Lab Materials tab</t>
  </si>
  <si>
    <t>Wk 31</t>
  </si>
  <si>
    <t>11/2
Population Ecology lesson · HHMI Population Dynamics fiddle (short)
📝 DRAFT.Ecological Succession due 11/2</t>
  </si>
  <si>
    <t>11/4
Carrying Capacity &amp; Limiting Factors — Oh Deer! activity (long)
Notes.Population Ecology due 11/4</t>
  </si>
  <si>
    <t>Fri Apr 09</t>
  </si>
  <si>
    <t>11/6
Finish labs/activities</t>
  </si>
  <si>
    <t>💀 Skeletal Anatomy (Lab Practical) ↗
— Activities —
• Fiddle (slides): station-map warm-up
• Short: pre-practical bone-station review circuit
• Long: 📝 Skeletal Lab Practical (stations)
• Alts: eSkeletons self-quiz / peer flash-card relay / labeled-skeleton speed round</t>
  </si>
  <si>
    <t>Esophagus Length &amp; Cardiac Sphincter Valve</t>
  </si>
  <si>
    <t>11/3
OFF — Election Day (Schools Closed)</t>
  </si>
  <si>
    <t>Straws, balloons</t>
  </si>
  <si>
    <t>11/5
Thu: 📝 Skeletal Lab Practical (EXAM) (moved from Tue 11/3 — Election Day)</t>
  </si>
  <si>
    <t>Tubing, ruler</t>
  </si>
  <si>
    <t>Mock Crime Scene
Folder</t>
  </si>
  <si>
    <t>✔ on order — straws, balloons, rulers</t>
  </si>
  <si>
    <t>Wk 21
MP3</t>
  </si>
  <si>
    <t>Feb 01 – Feb 05, 2027</t>
  </si>
  <si>
    <t>11/2
Mon: Process the scene — secure &amp; document (sketch, photos), collect &amp; package evidence, chain of custody</t>
  </si>
  <si>
    <t xml:space="preserve"> Review Wk 22: Introduction to Heredity / Endocrine System / Forensics: Cold Case Synthesis → see Review Links tab</t>
  </si>
  <si>
    <t>Wk 32</t>
  </si>
  <si>
    <t>11/4
Wed: Lab analysis of collected evidence · build the case · mock investigative briefing + reveal/debrief</t>
  </si>
  <si>
    <t>① Set up labs for Wk 22
② Grocery / materials list → Lab Materials tab</t>
  </si>
  <si>
    <t>11/6
Catch-up / flex (EOW)</t>
  </si>
  <si>
    <t>Fri Apr 16</t>
  </si>
  <si>
    <t>Spirometry Investigation</t>
  </si>
  <si>
    <t>Balloons (or disposable mouthpieces)</t>
  </si>
  <si>
    <t>Spirometer, measuring tape</t>
  </si>
  <si>
    <t>Nov 09 – Nov 13, 2026
⚠ Wed 11/11 Veterans Day — Schools Closed</t>
  </si>
  <si>
    <t>⚠ spirometer is WISHLIST (W), not confirmed buy; balloons ✔ fallback</t>
  </si>
  <si>
    <t>Wk 22
MP3</t>
  </si>
  <si>
    <t>Feb 08 – Feb 12, 2027
⚠ Fri In-Service 2/12</t>
  </si>
  <si>
    <t xml:space="preserve"> Review Wk 23: Mendelian Genetics / Endocrine (cont.) / Forensics: Forensic Pathology &amp; Expert in Court → see Review Links tab</t>
  </si>
  <si>
    <t>11/9
Intro to Cells lesson · Cell Size &amp; Scale fiddle (short)
📝 DRAFT.Population Ecology due 11/9</t>
  </si>
  <si>
    <t>OFF — In-Service 2/12</t>
  </si>
  <si>
    <t>11/11
OFF — Veterans Day (Schools Closed)</t>
  </si>
  <si>
    <t>Wk 34</t>
  </si>
  <si>
    <t>11/13
History of cell discovery / cell theory timeline (long) (moved from Wed 11/11 — Veterans Day)
Notes.Intro to Cells due 11/13</t>
  </si>
  <si>
    <t>Fri Apr 30</t>
  </si>
  <si>
    <t>🍗 Muscles (System) ↗
— Activities — (CA#M1 sarcomere = the contractile unit)
• Fiddle (slides): GetBodySmart sliding-filament animation
• Short: label-the-sarcomere — Z-line / A-band / I-band (CA#M1)
• Long: Chicken Wing Dissection — muscle→fascicle→fiber→sarcomere hierarchy
• Alts: Tom (DMD) case / "rubber-band sarcomere" build / Label Muscle Structure + Sarcomere coloring (open-book ref)</t>
  </si>
  <si>
    <t>11/10
Tue: #M1 Lesson: Muscular System · Case: Tom (DMD)</t>
  </si>
  <si>
    <t>Peppered-moth / bean selection sim</t>
  </si>
  <si>
    <t>11/12
Thu: Lab: Chicken Wing Dissection (see the hierarchy)</t>
  </si>
  <si>
    <t>Dried beans (mixed colors)</t>
  </si>
  <si>
    <t>11/13
Fri: #M1 Sarcomere = the contractile unit  · Open-book ref: Label Muscle Structure, Sarcomere coloring</t>
  </si>
  <si>
    <t>Patterned fabric, timer</t>
  </si>
  <si>
    <t>Arson
VT
Folder</t>
  </si>
  <si>
    <t>✔ colored beads on order; fabric from home</t>
  </si>
  <si>
    <t>Wk 23
MP3</t>
  </si>
  <si>
    <t>Feb 15 – Feb 19, 2027
⚠ Mon Presidents' Day 2/15</t>
  </si>
  <si>
    <t>OFF — Presidents' Day 2/15</t>
  </si>
  <si>
    <t xml:space="preserve"> Review Wk 24: Genetics Continued / Blood &amp; Immune System / Forensics: Intro to Toxicology &amp; Drug Schedules → see Review Links tab</t>
  </si>
  <si>
    <t>① Set up labs for Wk 24
② Grocery / materials list → Lab Materials tab</t>
  </si>
  <si>
    <t>11/9
Arson — lesson + short (Willingham)</t>
  </si>
  <si>
    <t>Urinalysis — 'Urine Luck'</t>
  </si>
  <si>
    <t>11/13
Arson evidence activity · 📝 Notes due (moved from Wed 11/11 — Veterans Day)</t>
  </si>
  <si>
    <t>Simulated urine, urinalysis test strips</t>
  </si>
  <si>
    <t>Cups, droppers</t>
  </si>
  <si>
    <t>Wk 24
MP3</t>
  </si>
  <si>
    <t>✔ on order — simulated urinalysis kit + strips + cups</t>
  </si>
  <si>
    <t>Feb 22 – Feb 26, 2027</t>
  </si>
  <si>
    <t xml:space="preserve"> Review Wk 25: Dihybrid Crosses / Blood &amp; Immune (cont.) / Forensics: Toxicology &amp; Forensics → see Review Links tab</t>
  </si>
  <si>
    <t>① Set up labs for Wk 25
② Grocery / materials list → Lab Materials tab</t>
  </si>
  <si>
    <t>Wk 35</t>
  </si>
  <si>
    <t>Fri May 07</t>
  </si>
  <si>
    <t>11/16
Cell Organelles lesson · BioMan Cell Explorer fiddle (short)
📝 DRAFT.Intro to Cells due 11/16</t>
  </si>
  <si>
    <t>11/18
Organelles Stations (plant vs animal sort, labeling) (long)
Notes.Cell Organelles due 11/18</t>
  </si>
  <si>
    <t>Allele-frequency bean simulation</t>
  </si>
  <si>
    <t>Dried beans / colored chips</t>
  </si>
  <si>
    <t>11/20
Finish labs/activities</t>
  </si>
  <si>
    <t>Cups</t>
  </si>
  <si>
    <t>🍗 Muscles (System) (cont.) ↗
— Activities — (CA#M2 sliding filament → #M3–4 NMJ &amp; dystrophin → #M5 NMJ poisons)
• Fiddle (slides): BioMan / PhET muscle-contraction sim
• Short: sliding-filament sequence sort (CA#M2)
• Long: The Gene Doctors (DMD) — NMJ &amp; dystrophin (CA#M3–4)
• Alts: #M5 NMJ-poison "predict the effect" (curare/botulinum/organophosphate) / Tired Swimmer (myasthenia) case / NMJ diagram label</t>
  </si>
  <si>
    <t>Wk 25
MP3</t>
  </si>
  <si>
    <t>✔ on order — colored beads, cups</t>
  </si>
  <si>
    <t>11/17
Tue: #M2 Sliding Filament Model — how a muscle shortens</t>
  </si>
  <si>
    <t>Mar 01 – Mar 05, 2027</t>
  </si>
  <si>
    <t>11/19
Thu: #M3–4 NMJ &amp; dystrophin — Video: The Gene Doctors (DMD)</t>
  </si>
  <si>
    <t>11/20
Fri: #M5 NMJ poisons — predict the effect · Case: The Tired Swimmer 🦄</t>
  </si>
  <si>
    <t>Ballistics
VT
Folder</t>
  </si>
  <si>
    <t xml:space="preserve"> Review Wk 26: DNA Structure / Blood &amp; Immune (cont.) / Forensics: Toxicology Review &amp; Assessment → see Review Links tab</t>
  </si>
  <si>
    <t>① Set up labs for Wk 26
② Grocery / materials list → Lab Materials tab</t>
  </si>
  <si>
    <t>11/16
Ballistics — lesson + short (St. Valentine's Day Massacre)
📝 DRAFT.Arson due 11/16</t>
  </si>
  <si>
    <t>11/18
Ballistics matching activity · 📝 Notes due</t>
  </si>
  <si>
    <t>Wk 26
MP3</t>
  </si>
  <si>
    <t>11/20
Catch-up / flex (EOW)</t>
  </si>
  <si>
    <t>Mar 08 – Mar 12, 2027
⚠ Wed In-Service 3/10</t>
  </si>
  <si>
    <t>OFF — In-Service 3/10</t>
  </si>
  <si>
    <t>Wk 13</t>
  </si>
  <si>
    <t xml:space="preserve"> Review Wk 27: DNA Replication / Heart &amp; Circulatory / Forensics: Intro to Death &amp; What Is Death → see Review Links tab</t>
  </si>
  <si>
    <t>① Set up labs for Wk 27
② Grocery / materials list → Lab Materials tab</t>
  </si>
  <si>
    <t>Nov 23 – Nov 27, 2026
⚠ Teacher in-service Mon–Wed (no students) · Thanksgiving Thu–Fri</t>
  </si>
  <si>
    <t>No classes — teacher in-service Mon–Wed + Thanksgiving Thu–Fri
Folder</t>
  </si>
  <si>
    <t>Wk 27
MP3</t>
  </si>
  <si>
    <t>Mar 15 – Mar 19, 2027</t>
  </si>
  <si>
    <t xml:space="preserve"> Review Wk 28: Genes &amp; Chromosomes / Heart &amp; Circulatory (cont.) / Forensics: Livor, Rigor &amp; Algor Mortis → see Review Links tab</t>
  </si>
  <si>
    <t>11/23
OFF — Teacher in-service (no students)</t>
  </si>
  <si>
    <t>① Set up labs for Wk 28
② Grocery / materials list → Lab Materials tab</t>
  </si>
  <si>
    <t>11/25
OFF — Teacher in-service (no students)</t>
  </si>
  <si>
    <t>11/27
OFF — Thanksgiving</t>
  </si>
  <si>
    <t>No classes — teacher in-service Mon–Wed + Thanksgiving Thu–Fri</t>
  </si>
  <si>
    <t>11/24
OFF — Teacher in-service (no students)</t>
  </si>
  <si>
    <t>11/26
OFF — Thanksgiving</t>
  </si>
  <si>
    <t>Blood Evidence (Part 1)
VT
Folder</t>
  </si>
  <si>
    <t>Wk 28
MP4</t>
  </si>
  <si>
    <t>Mar 22 – Mar 26, 2027
⚠ Fri Schools Closed 3/26</t>
  </si>
  <si>
    <t>① Review Wk 29: Spring Break / —  → see Review Links tab
② Grading scans: new Notes + finished Drafts</t>
  </si>
  <si>
    <t>OFF — Schools Closed 3/26</t>
  </si>
  <si>
    <t>LINKING CHECKLIST — next pass (all courses: Bio / A&amp;P / Forensics)</t>
  </si>
  <si>
    <t>Mar 29 – Apr 02, 2027
⚠ Spring Break (Mon–Fri)</t>
  </si>
  <si>
    <t>OFF — Spring Break</t>
  </si>
  <si>
    <t>11/30
Cell Membrane lesson + Cell Defense fiddle (short)
📝 DRAFT.Cell Organelles due 11/30</t>
  </si>
  <si>
    <t>12/2
Membrane Bubble Lab (long)
Notes.Cell Membrane due 12/2</t>
  </si>
  <si>
    <t>12/4
Finish labs/activities</t>
  </si>
  <si>
    <t>① Link each weekly agenda doc from its cell on the Year Grid (Master Agenda)</t>
  </si>
  <si>
    <t>🍗 Muscles (Naming) ↗
— Activities —
• Fiddle (slides): GetBodySmart muscle-naming map
• Short: muscle-naming logic drill (shape/location/action — trapezius/rhomboid/serratus)
• Long: muscle-groups open-book practice + Muscle Anatomy coloring
• Alts: Mystery of Muscle Weakness case / origin–insertion–action table / Kahoot muscle-naming review</t>
  </si>
  <si>
    <t>Apr 05 – Apr 09, 2027
⚠ Fri In-Service 4/9</t>
  </si>
  <si>
    <t>12/1
Tue: Muscle naming &amp; groups (open-book practice)  · ref: Muscle Anatomy coloring</t>
  </si>
  <si>
    <t>12/3
Thu: Case: Mystery of Muscle Weakness</t>
  </si>
  <si>
    <t>12/4
Fri: Open-book practice</t>
  </si>
  <si>
    <t>Blood Evidence (Part 2)
VT
Folder</t>
  </si>
  <si>
    <t xml:space="preserve"> Review Wk 31: Cell Differentiation &amp; Gene Expression / Digestive (cont.) / Forensics: (see Review Links tab) → see Review Links tab</t>
  </si>
  <si>
    <t>OFF — In-Service 4/9</t>
  </si>
  <si>
    <t>11/30
Blood L1: Serology / Typing — lesson + short
📝 DRAFT.Ballistics due 11/30</t>
  </si>
  <si>
    <t>② Link the VT lesson/deck inside each agenda's LESSON section</t>
  </si>
  <si>
    <t>12/2
Blood typing lab · 📝 Notes due</t>
  </si>
  <si>
    <t>Apr 12 – Apr 16, 2027</t>
  </si>
  <si>
    <t>12/4
Catch-up / flex (EOW)</t>
  </si>
  <si>
    <t xml:space="preserve"> Review Wk 32: Darwin / Intro to Evolution / Respiratory System / Forensics: (see Review Links tab) → see Review Links tab</t>
  </si>
  <si>
    <t>① Set up labs for Wk 32
② Grocery / materials list → Lab Materials tab</t>
  </si>
  <si>
    <t>Dec 07 – Dec 11, 2026
⚠ Fri 12/11 In-Service — Schools Closed</t>
  </si>
  <si>
    <t>12/7
Cell Transport lesson · PhET Membrane Transport fiddle (short)
📝 DRAFT.Cell Membrane due 12/7</t>
  </si>
  <si>
    <t>③ Make the grid topic name link to its week folder</t>
  </si>
  <si>
    <t>12/9
Osmosis lab (egg/potato) + BioMan Osmosis (long)
Notes.Cell Transport due 12/9</t>
  </si>
  <si>
    <t>Apr 19 – Apr 23, 2027</t>
  </si>
  <si>
    <t>12/11
OFF — In-Service (Schools Closed)</t>
  </si>
  <si>
    <t>🍗 Muscles (Naming) (cont.) ↗
— Activities —
• Fiddle (slides): muscle-ID speed round
• Short: open-book review circuit
• Long: 📝 UNIT EXAM — Muscular System
• Alts: flex/catch-up lab make-ups / peer quiz relay / cumulative muscle map</t>
  </si>
  <si>
    <t>12/8
Tue: Open-book review</t>
  </si>
  <si>
    <t>12/10
Thu: 📝 UNIT EXAM — Muscular System</t>
  </si>
  <si>
    <t xml:space="preserve"> Review Wk 33: Evidence of Evolution (Whales) / Respiratory (cont.) / Forensics: Intro to Entomology &amp; Time of Death → see Review Links tab</t>
  </si>
  <si>
    <t>① Set up labs for Wk 33
② Grocery / materials list → Lab Materials tab</t>
  </si>
  <si>
    <t>DNA Profiling (Part 1)
VT
Folder</t>
  </si>
  <si>
    <t>Wk 33
MP4</t>
  </si>
  <si>
    <t>Apr 26 – Apr 30, 2027
⚠ Fri In-Service 4/30</t>
  </si>
  <si>
    <t>12/7
Blood L2–3: Spatter — lesson + short
📝 DRAFT.Blood Evidence L1: Serology / Blood Typing due 12/7</t>
  </si>
  <si>
    <t>12/9
Spatter angle &amp; area-of-origin lab · 📝 Notes due</t>
  </si>
  <si>
    <t xml:space="preserve"> Review Wk 34: Natural Selection / Urinary System / Forensics: Entomology Review, Forensic Anthropology &amp; Human Skull → see Review Links tab</t>
  </si>
  <si>
    <t>OFF — In-Service 4/30</t>
  </si>
  <si>
    <t>Wk 34
MP4</t>
  </si>
  <si>
    <t>May 03 – May 07, 2027</t>
  </si>
  <si>
    <t>12/14
Enzymes lesson · BioMan Enzymatic fiddle (short)
📝 DRAFT.Cell Transport due 12/14</t>
  </si>
  <si>
    <t>12/16
Enzyme lab (toothpickase / liver-catalase) (long)
Notes.Enzymes due 12/16</t>
  </si>
  <si>
    <t>12/18
Finish labs/activities</t>
  </si>
  <si>
    <t xml:space="preserve"> Review Wk 35: The Genetic Basis of Adaptation / Urinary (cont.) / Forensics: Forensic Anthropology — Pelvic &amp; Long Bones → see Review Links tab</t>
  </si>
  <si>
    <t>Nervous System ↗
— Activities — (CA#N1 organization → #N2–3 myelin/demyelination → #N4 synapse)
• Fiddle (slides): GetBodySmart / BioMan action-potential animation
• Short: MS (Izzy) case — CNS/PNS organization (CA#N1)
• Long: myelin &amp; demyelination model (CA#N2–3) · Neuroglia (open-book ref)
• Alts: #N4 synapse "pass the signal" model / Concussions case / label-the-neuron</t>
  </si>
  <si>
    <t>① Set up labs for Wk 35
② Grocery / materials list → Lab Materials tab</t>
  </si>
  <si>
    <t>12/15
Tue: #N1 Lesson: Nervous System · Case: MS (Izzy) — organization</t>
  </si>
  <si>
    <t>12/17
Thu: #N2–3 Myelin &amp; demyelination (MS)  · Neuroglia (open-book ref)</t>
  </si>
  <si>
    <t>12/18
Fri: #N4 The synapse · Case Study: Concussions 🦄</t>
  </si>
  <si>
    <t>DNA Profiling (Part 2)
VT
Folder</t>
  </si>
  <si>
    <t>Wk 35
MP4</t>
  </si>
  <si>
    <t>May 10 – May 14, 2027</t>
  </si>
  <si>
    <t>12/14
DNA Profiling L1 — lesson + short (Colin Pitchfork)
📝 DRAFT.Blood Evidence L2–L3: Spatter due 12/14</t>
  </si>
  <si>
    <t xml:space="preserve"> Review Wk 36: Processes &amp; Outcomes of Evolution / Reproductive &amp; Final Project / Forensics: Forensic Anthropology Lab, Review &amp; Assessment → see Review Links tab</t>
  </si>
  <si>
    <t>12/16
DNA profiling activity · 📝 Notes due</t>
  </si>
  <si>
    <t>① Set up labs for Wk 36
② Grocery / materials list → Lab Materials tab</t>
  </si>
  <si>
    <t>12/18
Catch-up / flex (EOW)</t>
  </si>
  <si>
    <t>Wk 16b</t>
  </si>
  <si>
    <t>Dec 21 – Dec 22, 2026
⚠ Mon–Tue only · Winter break begins Wed 12/23</t>
  </si>
  <si>
    <t>Wk 36
MP4</t>
  </si>
  <si>
    <t>May 17 – May 21, 2027</t>
  </si>
  <si>
    <t>Semester 1 catch-up / grading — no new content</t>
  </si>
  <si>
    <t>12/21
Buffer: catch-up, late/missing work, notebook check · no new content</t>
  </si>
  <si>
    <t>① Review Wk 37: Reproductive / buffer / Final Project  → see Review Links tab
② Grading scans: new Notes + finished Drafts</t>
  </si>
  <si>
    <t>12/23
OFF — Winter Break begins</t>
  </si>
  <si>
    <t>① Set up labs for Wk 37
② Grocery / materials list → Lab Materials tab</t>
  </si>
  <si>
    <t>12/25
OFF — Winter Break</t>
  </si>
  <si>
    <t>12/22
Buffer: catch-up, lab make-ups, grading · no new content</t>
  </si>
  <si>
    <t>12/24
OFF — Winter Break</t>
  </si>
  <si>
    <t>12/21
Buffer: catch-up, late/missing work · no new content</t>
  </si>
  <si>
    <t>Wk 37
MP4</t>
  </si>
  <si>
    <t>May 24 – May 28, 2027 (buffer)</t>
  </si>
  <si>
    <t>① Review Wk 38: Final Exam / buffer / Final Exam  → see Review Links tab
② Grading scans: new Notes + finished Drafts</t>
  </si>
  <si>
    <t>① Set up labs for Wk 38
② Grocery / materials list → Lab Materials tab</t>
  </si>
  <si>
    <t>Jan 04 – Jan 08, 2027
⚠ Winter break Dec 23 – Jan 3</t>
  </si>
  <si>
    <t>◆ Enrichment → folds into Cycle 06 (Respiration &amp; Fermentation)
Cellular Respiration &amp; Glycolysis (Cellular Respiration revised · BioMan Photo &amp; Resp)
VT
Folder</t>
  </si>
  <si>
    <t>Wk 38
MP4</t>
  </si>
  <si>
    <t>May 31 – Jun 04, 2027 (buffer)</t>
  </si>
  <si>
    <t>① Review (year end)  → see Review Links tab
② Grading scans: new Notes + finished Drafts</t>
  </si>
  <si>
    <t>① Set up labs for year end
② Grocery / materials list → Lab Materials tab</t>
  </si>
  <si>
    <t>1/4
Cellular Respiration lesson · BioMan Photo &amp; Resp fiddle (short)
📝 DRAFT.Enzymes due 1/4</t>
  </si>
  <si>
    <t>1/6
Respiration graphic organizer / stations (long)
Notes.Cellular Respiration due 1/6</t>
  </si>
  <si>
    <t>1/8
Finish labs/activities</t>
  </si>
  <si>
    <t>Nervous System (cont.) ↗
— Activities — (CA#N5 drugs hijack the synapse)
• Fiddle (slides): Mouse Party (Learn.Genetics) — drugs at the synapse
• Short: Substance Abuse &amp; Teens — synapse hijack (CA#N5)
• Long: Brain Dissection (sheep) + Mini Mental State Exam
• Alts: Cranial Nerves (open-book ref) / Brain–Synapse coloring / Review Guide before Unit Exam</t>
  </si>
  <si>
    <t>1/5
Tue: #N5 Drugs hijack the synapse — Substance Abuse &amp; Teens</t>
  </si>
  <si>
    <t>1/7
Thu: Brain (condensed): Brain Dissection lab + Mini Mental State  · Cranial Nerves = open-book ref</t>
  </si>
  <si>
    <t>1/8
Fri: 📝 UNIT EXAM — Nervous System  · ref: Brain/Synapse coloring, Cranial Nerves, Review Guide</t>
  </si>
  <si>
    <t>DNA Profiling (Part 3) &amp; Fibers
VT
Folder</t>
  </si>
  <si>
    <t>1/4
DNA Profiling L2: match probability — lesson + short
📝 DRAFT.DNA Profiling L1 due 1/4</t>
  </si>
  <si>
    <t>1/6
Virtual gel electrophoresis · 📝 Notes due</t>
  </si>
  <si>
    <t>1/8
Catch-up / flex (EOW)</t>
  </si>
  <si>
    <t>Wk 18</t>
  </si>
  <si>
    <t>1/11
Cancer lesson · HHMI Cell Cycle &amp; Cancer fiddle (short)
📝 DRAFT.Cellular Respiration due 1/11</t>
  </si>
  <si>
    <t>1/13
Cancer Cells Research Stations / Mitosis–Cancer case study (long)
Notes.Cell Regulation &amp; Cancer due 1/13</t>
  </si>
  <si>
    <t>1/15
Finish labs/activities</t>
  </si>
  <si>
    <t>Semester 1 Final Exam Review ↗
— Activities —
• Fiddle (slides): cumulative Kahoot (systems so far)
• Short: unit-by-unit "one big idea" recall lap
• Long: 📝 SEMESTER 1 FINAL EXAM
• Alts: homeostasis-throughline concept map / station review (skeletal/muscular/nervous) / open-book guide</t>
  </si>
  <si>
    <t>1/12
Tue: Final Exam Review</t>
  </si>
  <si>
    <t>1/14
Thu: 📝 SEMESTER 1 FINAL EXAM</t>
  </si>
  <si>
    <t>Fibers
VT
Folder</t>
  </si>
  <si>
    <t>1/11
Fibers — lesson + short (Wayne Williams)
📝 DRAFT.DNA Profiling L2: match probability due 1/11</t>
  </si>
  <si>
    <t>1/13
Fiber burn / microscopy lab · 📝 Notes due</t>
  </si>
  <si>
    <t>1/15
Catch-up / flex (EOW)</t>
  </si>
  <si>
    <t>────  MP 3  ────────────────────────────────────────────────────────────</t>
  </si>
  <si>
    <t>MP 3</t>
  </si>
  <si>
    <t>Jan 18 – Jan 22, 2027
⚠ Mon 01/18 MLK Day</t>
  </si>
  <si>
    <t>1/18
OFF</t>
  </si>
  <si>
    <t>1/20
Cell Cycle Lesson (VT) + fiddle · Notes.The Cell Cycle due 1/20
— Activities —
• Fiddle (slides): Mitosis Mover (BioMan)
• Short: Cell‑Cycle Card Sort
• Long: Eukaryotic Cell Cycle and Cancer Click &amp; Learn
• Alts: Cell Cycle Simulation (Learn.Genetics, University of Utah) – https://learn.genetics.utah.edu/content/cells/cellcycle/ – lets students toggle between interphase and mitosis on a single slide. / Cell‑Cycle Timeline Worksheet (Science Buddies) – https://www.sciencebuddies.org/science-fair-projects/references/cell-cycle-timeline – students place events on a timeline, encouraging reasoning about order and purpose. / Stem‑Cell Differentiation Lab (HHMI) – https://www.biointeractive.org/classroom-resources/stem-cell-differentiation – students model how cell‑cycle timing influences stem‑cell fate, linking division to specialization.
📝 DRAFT.Cell Regulation &amp; Cancer due 1/20 (Mon off)</t>
  </si>
  <si>
    <t>1/22
(A) Onion root tip mitosis lab / cell-cycle stations · finish labs/activities</t>
  </si>
  <si>
    <t>Forensics Mini Unit (A&amp;P) ↗
— Activities —
• Post-S1-final forensics crossover — materials in the 'Week 19 - Forensics Mini Unit' folder
• Activity menu to be built from the folder's contents (confirm forensics scope)</t>
  </si>
  <si>
    <t>Hair
VT
Folder</t>
  </si>
  <si>
    <t>1/18
OFF — MLK Day</t>
  </si>
  <si>
    <t>1/20
Fingerprints — lesson (Mayfield) (moved from Mon 1/18 — MLK Day)
+ Dusting &amp; lifting latent prints · 📝 Notes due
📝 DRAFT.Fibers due 1/20 (Mon off)</t>
  </si>
  <si>
    <t>1/22
Catch-up / flex (EOW)</t>
  </si>
  <si>
    <t>Wk 20</t>
  </si>
  <si>
    <t>Jan 25 – Jan 29, 2027</t>
  </si>
  <si>
    <t>1/25
IN-SERVICE</t>
  </si>
  <si>
    <t>1/27
Asexual reproduction types stations (fission/budding/fragmentation) · Notes.Asexual &amp; Sexual Reproduction due 1/27
— Activities —
• Fiddle (slides): Snurfle Meiosis (BioMan)
• Short: Think‑Pair‑Share: Clones vs. Hybrids
• Long: Starfish Regeneration Lab
• Alts: HHMI BioInteractive video: "Sexual vs. Asexual Reproduction" (online video that can be embedded on a slide). / 5E Lesson “Reproduction Think Cards” – short card‑based activity where groups sort scenarios into asexual or sexual categories and justify their choices. / AACT Aphid Life‑Cycle Investigation – students raise aphids under different conditions to see how they switch between asexual and sexual reproduction.
📝 DRAFT.The Cell Cycle due 1/27 (Mon off)</t>
  </si>
  <si>
    <t>1/29
Finish labs/activities</t>
  </si>
  <si>
    <t>Senses ↗
— Activities — (CA#S1 receptor types → #S2 pain)
• Fiddle (slides): receptor-type sorting interactive
• Short: Lab Stations on Senses — classify receptors (CA#S1)
• Long: Two-Point Touch Discrimination — receptor density (CA#S1)
• Alts: #S2 Pain — ice demo + FLACC scale / Pain in the Rear case / Label the Ear (open-book ref)</t>
  </si>
  <si>
    <t>1/26
Tue: #S1 Lesson: Sensory Perception · Lab Stations on Senses (receptor types)</t>
  </si>
  <si>
    <t>1/28
Thu: #S1 Two-Point Touch Discrimination (lab — receptor density)  · ref: Label the Ear</t>
  </si>
  <si>
    <t>1/29
Fri: #S2 Pain — Ice demo + Case: Pain in the Rear (FLACC scale)</t>
  </si>
  <si>
    <t>Unit 2 Review &amp; Exam
Folder</t>
  </si>
  <si>
    <t>1/25
OFF — In-Service</t>
  </si>
  <si>
    <t>1/27
Hair — lesson (Santae Tribble) (moved from Mon 1/25 — in-service)
+ Hair microscopy lab · 📝 Notes due
📝 DRAFT.Fingerprints due 1/27 (Mon off)</t>
  </si>
  <si>
    <t>1/29
Catch-up / flex (EOW)</t>
  </si>
  <si>
    <t>2/1
Stem cell differentiation reading / case study
— Activities —
• Fiddle (slides): BioMan Cell Specialization Game
• Short: HHMI BioInteractive – Cancer and Cell Fate in the Intestinal Epithelium
• Long: Morgridge Institute Directed Differentiation Activity
• Alts: Use a Kahoot quiz titled “Stem Cell Potency Quick‑Fire” (source: web) to test key concepts in real time. / Conduct a Think‑Pair‑Share using the Sanford PROMISE Immortal Cells Cell Differentiation Activity (source: Sanford PROMISE) to discuss epigenetic signals. / Run the PBS NOVA "Stem Cells Breakthrough" classroom activity (source: PBS NOVA) where students build clay models of differentiated tissues and map lineage pathways.
📝 DRAFT.Asexual &amp; Sexual Reproduction due 2/1</t>
  </si>
  <si>
    <t>2/3
Stem cell ethics discussion (claim–evidence) · Notes.Stem Cell Differentiation due 2/3</t>
  </si>
  <si>
    <t>2/5
Finish labs/activities</t>
  </si>
  <si>
    <t>Senses (cont.) ↗
— Activities — (CA#S3–4 hearing chain + eye)
• Fiddle (slides): GetBodySmart ear/eye interactive
• Short: hearing-chain sequence sort (CA#S3)
• Long: Cow Eye Dissection (CA#S4)
• Alts: Molly/Leber case (gene→phenotype) / Eye–Ear coloring (open-book ref) / review before Unit Exam</t>
  </si>
  <si>
    <t>2/2
Tue: #S3–4 Hearing chain + Eye — Cow Eye Dissection</t>
  </si>
  <si>
    <t>2/4
Thu: Eye/Leber case (Molly): gene → phenotype [Eye companion deck]  · ref: Eye/Ear coloring</t>
  </si>
  <si>
    <t>2/5
Fri: Open-book review  · 📝 UNIT EXAM — Senses</t>
  </si>
  <si>
    <t>Unit 2 Review &amp; Assessment
Folder</t>
  </si>
  <si>
    <t>2/1
Unit 2 — Review
📝 DRAFT.Hair due 2/1</t>
  </si>
  <si>
    <t>2/3
📝 Unit 2 Assessment</t>
  </si>
  <si>
    <t>2/5
Catch-up / flex (EOW)</t>
  </si>
  <si>
    <t>Feb 08 – Feb 12, 2027</t>
  </si>
  <si>
    <t>2/8
Intro to Heredity Lesson
— Activities —
• Fiddle (slides): Monster Genetics Simulation
• Short: Pedigree Analysis Worksheet
• Long: Inheritance of Lactose Intolerance (HHMI BioInteractive)
• Alts: Snurfle Meiosis and Genetics game (BioMan) – an interactive quiz on meiosis and trait inheritance. / Design "Y'er Genes" activity (Science Buddies) – students model DNA mutations and predict phenotypic changes. / University of Utah Teach.Genetics – Generations of Traits pom‑pom activity – hands‑on exploration of trait inheritance across multiple generations.
📝 DRAFT.Stem Cell Differentiation due 2/8</t>
  </si>
  <si>
    <t>2/10
Class trait inventory / family traits activity · Notes.Introduction to Heredity due 2/10</t>
  </si>
  <si>
    <t>2/12
IN-SERVICE 2/12</t>
  </si>
  <si>
    <t>Endocrine System ↗
— Activities — (CA#E1–2 messengers &amp; feedback)
• Fiddle (slides): hormone-target "lock &amp; key" interactive
• Short: Timothy case — messengers &amp; feedback (CA#E1–2)
• Long: HASPI Stress Response Lab (cortisol/adrenaline)
• Alts: negative vs positive feedback sort / Ghrelin Demo (article) / Endocrine Concept Map (open-book ref)</t>
  </si>
  <si>
    <t>2/9
Tue: #E1–2 Lesson: Endocrine · Case: Timothy — messengers &amp; feedback</t>
  </si>
  <si>
    <t>2/11
Thu: #E2 HASPI Stress Response Lab (cortisol/adrenaline)
+ #E2 Negative vs positive feedback · Ghrelin Demo (article) (moved from Fri 2/12 — in-service)</t>
  </si>
  <si>
    <t>2/12
OFF — In-Service</t>
  </si>
  <si>
    <t>Cold Case Synthesis (Unit 2 Capstone)
Folder</t>
  </si>
  <si>
    <t>2/8
Mon: Cold-case file drop — integrate Unit 2 evidence (arson, ballistics, blood, DNA, fibers, prints, hair); build the case, verdict withheld</t>
  </si>
  <si>
    <t>2/10
Wed: Evidence-reliability audit — which forensics hold up vs. overstate? · team findings + reveal</t>
  </si>
  <si>
    <t>Feb 15 – Feb 19, 2027
⚠ Mon 02/15 Presidents' Day</t>
  </si>
  <si>
    <t>2/15
OFF</t>
  </si>
  <si>
    <t>2/17
Mendelian Genetics Lesson + Snurfle Genetics fiddle · Notes.Mendelian Genetics due 2/17
— Activities —
• Fiddle (slides): Monster Genetics
• Short: Punnett Square Practice (Stickelback Trait)
• Long: Mendelian Genetics, Probability, Pedigrees, and Chi‑Square Statistics
• Alts: Snurfle Meiosis and Genetics (BioMan) – https://www.biomanbio.com/Genetics/SnurfleMeiosis.htm – lets students visualize meiosis and allele separation in a short interactive / BioMan Genetics Quiz – https://www.biomanbio.com/Genetics/GeneticsQuiz.htm – a rapid‑fire quiz that forces students to think through monohybrid cross outcomes / Science Buddies Mendelian Genetics Lab – https://www.sciencebuddies.org/science-fair-projects/project-ideas/Genetics_p025/biology – a hands‑on pea‑plant experiment guiding students through setting up crosses, recording data, and analyzing ratios
📝 DRAFT.Introduction to Heredity due 2/17 (Mon off)</t>
  </si>
  <si>
    <t>2/19
(B) Monster Genetics / Mendel pea-cross activity · finish labs/activities</t>
  </si>
  <si>
    <t>Endocrine System (cont.) ↗
— Activities — (CA#E4 hyper/hypo disorders)
• Fiddle (slides): insulin/glucagon feedback simulator
• Short: hyper/hypo disorder match (CA#E4)
• Long: glucose homeostasis (insulin/glucagon) &amp; diabetes investigation
• Alts: Achondroplasia &amp; Gene Therapy (bioethics) / Vocab Matching + Review Guide / open-book review before Unit Exam</t>
  </si>
  <si>
    <t>2/16
Tue: #E4 Hyper/hypo disorders — Achondroplasia &amp; Gene Therapy (bioethics)</t>
  </si>
  <si>
    <t>2/18
Thu: Glucose homeostasis (insulin/glucagon) &amp; diabetes  · ref: Endocrine Concept Map</t>
  </si>
  <si>
    <t>2/19
Fri: Open-book review  · 📝 UNIT EXAM — Endocrine  · ref: Vocab Matching, Review Guide</t>
  </si>
  <si>
    <t>Forensic Pathology &amp; Expert in Court (Bridge to Unit 3)
Folder</t>
  </si>
  <si>
    <t>2/15
OFF — Presidents Day</t>
  </si>
  <si>
    <t>2/17
Wed: Intro to the Medical Examiner &amp; forensic pathology — what an autopsy can/can't answer (bridge to Death unit)</t>
  </si>
  <si>
    <t>2/19
Fri: The forensic expert in court — testimony, junk science &amp; the 'CSI effect'</t>
  </si>
  <si>
    <t>2/22
Genetics Continued (VT) + Punnett practice
— Activities —
• Fiddle (slides): Pedigree Analysis Game
• Short: Blue Fugates Case Discussion
• Long: Science Buddies: Methemoglobinemia Pedigree Lab
• Alts: Genetics Monster Builder (BioMan) – interactive drag‑and‑drop to create parent monsters and predict offspring traits; reinforces Punnett square thinking on a slide. / Quick Think‑Pair‑Share: Predicting offspring skin color for the Blue Fugates – a 5‑minute classroom prompt that asks pairs to calculate probabilities and justify carrier status (source: web). / HHMI BioInteractive: Sickle Cell Disease – Extended Lab – students model a real‑world recessive disorder, build pedigrees, and perform chi‑square analysis (source: HHMI).
📝 DRAFT.Mendelian Genetics due 2/22</t>
  </si>
  <si>
    <t>2/24
Punnett square stations + Pedigrees · Notes.Genetics Continued due 2/24</t>
  </si>
  <si>
    <t>2/26
Finish labs/activities</t>
  </si>
  <si>
    <t>Blood and Immune System ↗
— Activities —
• Fiddle (slides): blood-cell ID interactive (RBC/WBC/platelets)
• Short: Ian (Cooley's Anemia) case
• Long: Hematocrit Investigation
• Alts: WBC &amp; immunity (VT) / Sickle Cell + Survival of the Sickest (evolution link) / Blood Concept Map</t>
  </si>
  <si>
    <t>2/23
Tue: Lesson: Blood Cells (RBC/WBC/Platelets) · Case: Ian (Cooley's Anemia)</t>
  </si>
  <si>
    <t>2/25
Thu: WBC &amp; immunity (VT) · Hematocrit Investigation</t>
  </si>
  <si>
    <t>2/26
Fri: Genetics: Sickle Cell + Survival of the Sickest 🦄 (evolution)</t>
  </si>
  <si>
    <t>Introduction to Toxicology &amp; Toxicology-Drug Schedules
VT
Folder</t>
  </si>
  <si>
    <t>2/22
Toxicology: Introduction — lesson + short (Lafarge)</t>
  </si>
  <si>
    <t>2/24
LD50 “dose makes the poison” · 📝 Notes due</t>
  </si>
  <si>
    <t>2/26
Catch-up / flex (EOW)</t>
  </si>
  <si>
    <t>◆ Enrichment → folds into Cycle 13 (Mendelian Genetics)
Dihybrid Crosses · VT ✓ (Mendels Laws &amp; Dihybrid · Snurfle Meiosis 2)
VT
Folder</t>
  </si>
  <si>
    <t>3/1
Dihybrid Lesson + Snurfle Meiosis 2 fiddle
— Activities —
• Fiddle (slides): Snurfle Meiosis and Genetics 2: Diversity and Dihybrid Crosses
• Short: Modeling Independent Assortment and Dihybrid Crosses
• Long: The Teosinte Hypothesis
• Alts: Genetics Games – Dihybrid Cross Challenge (Science Buddies) – an online interactive that lets students drag‑and‑drop alleles into a 16‑square grid. / Think‑Pair‑Share: Predicting Dihybrid Ratios – students first predict outcomes individually, then discuss in pairs, and finally share with the class. / Laboratory Dihybrid Cross with Fast‑Growing Peas – students set up real monohybrid and dihybrid crosses, grow plants, and record phenotypic ratios over several weeks.
📝 DRAFT.Genetics Continued due 3/1</t>
  </si>
  <si>
    <t>3/3
Dihybrid cross practice / 9:3:3:1 ratios · Notes.Dihybrid Crosses due 3/3</t>
  </si>
  <si>
    <t>3/5
Finish labs/activities</t>
  </si>
  <si>
    <t>Blood and Immune System (cont.) ↗
— Activities —
• Fiddle (slides): blood-typing antigen/antibody sim
• Short: Blood Typing (VT) — antigens &amp; compatibility
• Long: Blood Typing Lab (+ simulated blood)
• Alts: Alpha Gal Syndrome case / compatibility grid / Blood Case Studies</t>
  </si>
  <si>
    <t>3/2
Tue: Blood Typing (VT) — antigens &amp; compatibility</t>
  </si>
  <si>
    <t>3/4
Thu: Lab: Blood Typing Lab (+ Simulated Blood)</t>
  </si>
  <si>
    <t>3/5
Fri: Case: Alpha Gal Syndrome 🦄 / Blood Case Studies</t>
  </si>
  <si>
    <t>Toxicology and Forensics
VT
Folder</t>
  </si>
  <si>
    <t>3/1
Toxicology: Effect of Drugs — lesson + short
📝 DRAFT.Toxicology: Introduction due 3/1</t>
  </si>
  <si>
    <t>3/3
Drug-schedule activity · 📝 Notes due</t>
  </si>
  <si>
    <t>3/5
Catch-up / flex (EOW)</t>
  </si>
  <si>
    <t>Mar 08 – Mar 12, 2027
⚠ Wed 3/10 In-Service — Schools Closed</t>
  </si>
  <si>
    <t>3/8
DNA Structure Lesson (VT)
— Activities —
• Fiddle (slides): BioMan DNA Structure Builder
• Short: HHMI DNA Modeling Card Activity
• Long: Science Buddies Candy DNA Lab
• Alts: Interactive DNA Zipper Mini‑Game (web) – a simple browser game that lets students drag and drop bases to form a helix / Think‑Pair‑Share: Mutation Impacts Worksheet (web) – students analyze scenarios of harmful vs. beneficial mutations / Case Study: The Human Genome Project (web) – students explore real data, genome size, and ethical considerations
📝 DRAFT.Dihybrid Crosses due 3/8</t>
  </si>
  <si>
    <t>3/10
OFF — In-Service (Schools Closed)</t>
  </si>
  <si>
    <t>3/12
DNA model build (paper / candy) (moved from Wed 3/10 — in-service)
Notes.DNA Structure due 3/12</t>
  </si>
  <si>
    <t>Blood and Immune System (cont.) ↗
— Activities —
• Fiddle (slides): HHMI immune-response animation
• Short: Man With the Golden Arm — immune defense
• Long: Hemophilia + blood feedback-loop investigation
• Alts: WBC Chart / Concept Map / Study Guide — open-book review before Unit Exam</t>
  </si>
  <si>
    <t>3/9
Tue: Immune defense — Man With the Golden Arm 🦄</t>
  </si>
  <si>
    <t>3/11
Thu: Genetics: Hemophilia · Blood Feedback Loop</t>
  </si>
  <si>
    <t>3/12
Fri: Open-book review · 📝 UNIT EXAM — Blood &amp; Immune · ref: Concept Map, WBC Chart, Study Guide</t>
  </si>
  <si>
    <t>Toxicology Review &amp; Assessment
Folder</t>
  </si>
  <si>
    <t>3/8
Toxicology — Review
📝 DRAFT.Toxicology: The Effect of Drugs due 3/8</t>
  </si>
  <si>
    <t>3/12
📝 Toxicology Assessment (moved from Wed 3/10 — in-service)</t>
  </si>
  <si>
    <t>3/15
DNA Replication Lesson (VT)
— Activities —
• Fiddle (slides): BioMan DNA Replication Interactive
• Short: HHMI Think‑Pair‑Share: Enzyme Order Card Sort
• Long: Science Buddies Meselson‑Stahl Pulse‑Chase Lab
• Alts: AACT DNA Replication Game / Web‑based DNA Replication Think‑Quiz (Quizizz) / Pipe‑Cleaner DNA Model Activity (Science Buddies)
📝 DRAFT.DNA Structure due 3/15</t>
  </si>
  <si>
    <t>3/17
DNA replication modeling activity · Notes.DNA Replication due 3/17</t>
  </si>
  <si>
    <t>3/19
Finish labs/activities</t>
  </si>
  <si>
    <t>Heart and Circulatory System ↗
— Activities —
• Fiddle (slides): GetBodySmart heart / blood-flow animation
• Short: Aortic Stenosis (Lucas) — structure→function
• Long: Heart Dissection (sheep)
• Alts: A Tiny Heart / Heart of a Swimmer case / trace-a-drop blood-flow path / Label the Heart (open-book ref)</t>
  </si>
  <si>
    <t>3/16
Tue: Lesson: Cardiovascular System (VT) · Case: Aortic Stenosis (Lucas)</t>
  </si>
  <si>
    <t>3/18
Thu: Lab: Heart Dissection</t>
  </si>
  <si>
    <t>3/19
Fri: Case: A Tiny Heart + Heart of a Swimmer 🦄 · ref: Label the Heart</t>
  </si>
  <si>
    <t>Introduction to Death &amp; What is Death
VT
Folder</t>
  </si>
  <si>
    <t>3/15
What is Death? — lesson + short (Schiavo/McMath)</t>
  </si>
  <si>
    <t>3/17
Class debate: defining death · 📝 Notes due</t>
  </si>
  <si>
    <t>3/19
Catch-up / flex (EOW)</t>
  </si>
  <si>
    <t>────  MP 4  ────────────────────────────────────────────────────────────</t>
  </si>
  <si>
    <t>Wk 28</t>
  </si>
  <si>
    <t>MP 4</t>
  </si>
  <si>
    <t>Mar 22 – Mar 26, 2027
⚠ Fri 03/26 Schools Closed</t>
  </si>
  <si>
    <t>3/22
Meiosis VT (3-Tier) + Snurfle Meiosis fiddle · Day-1 short: mitosis-vs-meiosis compare
📝 DRAFT.DNA Replication due 3/22</t>
  </si>
  <si>
    <t>3/24
Day-2 long: chromosome modeling — crossing over &amp; independent assortment
Notes.Meiosis due 3/24</t>
  </si>
  <si>
    <t>3/26
OFF — Schools Closed</t>
  </si>
  <si>
    <t>Heart &amp; Circulatory System (cont.) ↗
— Activities —
• Fiddle (slides): ECG / pacemaker interactive
• Short: Cardiac Cycle (VT) — pacemaker / ECG / BP
• Long: Measuring Blood Pressure lab
• Alts: pulse-pressure prediction / Label Circulatory System (open-book ref) / open-book review before Unit Exam</t>
  </si>
  <si>
    <t>3/23
Tue: Cardiac Cycle (VT) — pacemaker / ECG / blood pressure
+ Lab: Measuring Blood Pressure</t>
  </si>
  <si>
    <t>3/25
Thu: 📝 UNIT EXAM — Heart &amp; Circulatory · Open-book review · ref: Label Circulatory System</t>
  </si>
  <si>
    <t>Stages of Decomposition &amp; The Body Farm
Folder</t>
  </si>
  <si>
    <t>3/22
Stages of Decomposition — lesson + short: decomposition-stage sort
📝 DRAFT.What is Death? due 3/22</t>
  </si>
  <si>
    <t>3/24
The Body Farm (forensic taphonomy) case study · 📝 Notes due</t>
  </si>
  <si>
    <t>Mar 29 – Apr 02, 2027
⚠ Spring Break</t>
  </si>
  <si>
    <t>Spring Break</t>
  </si>
  <si>
    <t>3/29
OFF — Spring Break</t>
  </si>
  <si>
    <t>3/31
OFF — Spring Break</t>
  </si>
  <si>
    <t>4/2
OFF — Spring Break</t>
  </si>
  <si>
    <t>3/30
OFF — Spring Break</t>
  </si>
  <si>
    <t>4/1
OFF — Spring Break</t>
  </si>
  <si>
    <t>Apr 05 – Apr 09, 2027</t>
  </si>
  <si>
    <t>4/5
Genes &amp; Chromosomes VT (3-Tier) + Tour of the Basics fiddle · Day-1 short: scale-ladder sort / locus match / gene-vs-allele sort
📝 DRAFT.Meiosis due 4/5</t>
  </si>
  <si>
    <t>4/7
Day-2 long: pipe-cleaner chromosome build · gene map · class allele survey
Notes.Genes and Chromosomes due 4/7</t>
  </si>
  <si>
    <t>4/9
IN-SERVICE 4/9</t>
  </si>
  <si>
    <t>Digestive System ↗
— Activities —
• Fiddle (slides): digestion-path interactive (BioDigital)
• Short: Scurvy! case — nutrient function
• Long: Villi Absorption sim + Model the Alimentary Canal with String
• Alts: Celiac Disease case / Dirty Realities (microbiome) article / enzyme–substrate match</t>
  </si>
  <si>
    <t>4/6
Tue: Lesson: Digestive System · Case: Scurvy!</t>
  </si>
  <si>
    <t>4/8
Thu: Sim: Villi Absorption + Model the Alimentary Canal with String
+ Case Study: Celiac Disease · Article: Dirty Realities 🦄 (microbiome) (moved from Fri 4/9 — in-service)</t>
  </si>
  <si>
    <t>4/9
OFF — In-Service</t>
  </si>
  <si>
    <t>Livor, Rigor and Algor Mortis (Time of Death)
VT
Folder</t>
  </si>
  <si>
    <t>4/5
Time of Death: Livor / Rigor / Algor — lesson + short
📝 DRAFT.Stages of Decomposition &amp; The Body Farm due 4/5</t>
  </si>
  <si>
    <t>4/7
Algor Mortis cooling lab · 📝 Notes due</t>
  </si>
  <si>
    <t>4/12
Protein Synthesis lesson · transcription quick-decode DNA→mRNA (short)
📝 DRAFT.Genes and Chromosomes due 4/12</t>
  </si>
  <si>
    <t>4/14
Translation station — build a protein from mRNA with a codon chart (long)
Notes.Protein Synthesis due 4/14</t>
  </si>
  <si>
    <t>4/16
Finish labs/activities</t>
  </si>
  <si>
    <t>Digestive System (cont.) ↗
— Activities —
• Fiddle (slides): peristalsis / sphincter animation
• Short: Esophagus Length &amp; Cardiac Sphincter Valve lab
• Long: digestive-disorders investigation
• Alts: Broken Genes case / Label + Concept Map + Coloring (open-book ref) / open-book review before Unit Exam</t>
  </si>
  <si>
    <t>4/13
Tue: Lab: Esophagus Length &amp; Cardiac Sphincter Valve</t>
  </si>
  <si>
    <t>4/15
Thu: Human Errors: Broken Genes 🦄 · digestive disorders</t>
  </si>
  <si>
    <t>4/16
Fri: Open-book review · 📝 UNIT EXAM — Digestive · ref: Label, Concept Map, Coloring</t>
  </si>
  <si>
    <t>Week 30 Autopsy week
VT
Folder</t>
  </si>
  <si>
    <t>4/12
The Autopsy: Cause vs Manner — lesson + short (Barlow)
📝 DRAFT.Time of Death: Livor / Rigor / Algor Mortis due 4/12</t>
  </si>
  <si>
    <t>4/14
Cause / manner case sort · 📝 Notes due</t>
  </si>
  <si>
    <t>4/16
Catch-up / flex (EOW)</t>
  </si>
  <si>
    <t>4/19
— Activities —
Fiddle (on slides): LearnGenetics Build-a-DNA / BioMan gene game.
Short: Frameshift 'decode the sequence' — insert/delete a base, re-read the codons.
Long: Gel electrophoresis virtual lab (LearnGenetics), or the 'Case of the Desert Bones' DNA-fingerprinting case.
Alt: HHMI mutation→phenotype; karyotype / nondisjunction sort for disorders.
📝 DRAFT.Protein Synthesis due 4/19</t>
  </si>
  <si>
    <t>4/21
Notes.Cell Differentiation &amp; Gene Expression due 4/21</t>
  </si>
  <si>
    <t>4/23
Finish labs/activities</t>
  </si>
  <si>
    <t>Respiratory System ↗
— Activities —
• Fiddle (slides): breathing-mechanics animation
• Short: Cystic Fibrosis case — structure→function
• Long: Spirometry investigation (lung volumes / FEV1)
• Alts: Tibetans &amp; High Altitude (adaptation) / bell-jar lung model / gas-exchange diagram</t>
  </si>
  <si>
    <t>4/20
Tue: Lesson: Respiratory System · Case: Cystic Fibrosis</t>
  </si>
  <si>
    <t>4/22
Thu: Investigation: Spirometry 🦄 (lung volumes / FEV1)</t>
  </si>
  <si>
    <t>4/23
Fri: Case Study: Tibetans &amp; High Altitude 🦄 (adaptation)</t>
  </si>
  <si>
    <t>Autopsy: Fetal Pig Dissection (lab)
Folder</t>
  </si>
  <si>
    <t>4/19
Fetal Pig Dissection (autopsy lab)
📝 DRAFT.The Autopsy: Cause vs. Manner due 4/19</t>
  </si>
  <si>
    <t>4/21
Pig dissection cont. + pig “funeral”</t>
  </si>
  <si>
    <t>4/23
Catch-up / flex (EOW)</t>
  </si>
  <si>
    <t>Wk 33</t>
  </si>
  <si>
    <t>Apr 26 – Apr 30, 2027</t>
  </si>
  <si>
    <t>4/26
Darwin &amp; the development of a theory — lesson · Darwin's observations card sort (short)
📝 DRAFT.Cell Differentiation &amp; Gene Expression due 4/26</t>
  </si>
  <si>
    <t>4/28
Galápagos finch adaptation reading + claim–evidence (long)
Notes.Introduction to Evolution due 4/28</t>
  </si>
  <si>
    <t>4/30
IN-SERVICE 4/30</t>
  </si>
  <si>
    <t>Respiratory System (cont.) ↗
— Activities —
• Fiddle (slides): gas-exchange diffusion sim
• Short: Driving Can Be Dangerous (hypoxia) case
• Long: breathing &amp; disorders stations (COPD / asthma / CF)
• Alts: Labeling + Coloring (open-book ref) / spirometer data graphing / open-book review before Unit Exam</t>
  </si>
  <si>
    <t>4/27
Tue: Breathing mechanism &amp; gas exchange · Case: Driving Can Be Dangerous (hypoxia)
+ Disorders (COPD, asthma, CF treatment)</t>
  </si>
  <si>
    <t>4/29
Thu: 📝 UNIT EXAM — Respiratory · Open-book review · ref: Labeling, Coloring, Review</t>
  </si>
  <si>
    <t>4/30
OFF — In-Service</t>
  </si>
  <si>
    <t>Autopsy Dissection cont. / Unit Buffer
Folder</t>
  </si>
  <si>
    <t>4/26
Autopsy dissection cont. / review
📝 DRAFT.The Autopsy: Fetal Pig Dissection (lab) + pig “funeral” due 4/26</t>
  </si>
  <si>
    <t>4/28
Review · 📝 Notes due</t>
  </si>
  <si>
    <t>5/3
Whale evolution / evidence of evolution lesson · homologous vs analogous quick sort (short)
📝 DRAFT.Introduction to Evolution due 5/3</t>
  </si>
  <si>
    <t>5/5
Whale fossil-sequence activity (HHMI Great Transitions) + write-up (long)
Notes.Evidence of Evolution due 5/5</t>
  </si>
  <si>
    <t>5/7
Finish labs/activities</t>
  </si>
  <si>
    <t>Urinary System ↗
— Activities —
• Fiddle (slides): nephron-filtration interactive
• Short: Diaper Drama case
• Long: Urinalysis (Urine Luck) lab
• Alts: Kidney Donations (dialysis/transplant) article / Color &amp; Label Urinary (open-book ref) / filtration model</t>
  </si>
  <si>
    <t>5/4
Tue: Lesson: Urinary System · Case: Diaper Drama</t>
  </si>
  <si>
    <t>5/6
Thu: Lab: Investigation: Urine Luck (urinalysis)</t>
  </si>
  <si>
    <t>5/7
Fri: Article: Kidney Donations 🦄 (dialysis/transplant) · ref: Color &amp; Label Urinary</t>
  </si>
  <si>
    <t>Introduction to Entomology &amp; Entomology-Time of Death
VT
Folder</t>
  </si>
  <si>
    <t>5/3
Forensic Entomology — lesson + short: life-cycle sort (Bergeret/Song Ci)</t>
  </si>
  <si>
    <t>5/5
“Maggot Man” PMI by degree-days · 📝 Notes due</t>
  </si>
  <si>
    <t>5/7
Catch-up / flex (EOW)</t>
  </si>
  <si>
    <t>5/10
Natural Selection lesson · bird-beak / bean selection quick sim (short)
📝 DRAFT.Evidence of Evolution due 5/10</t>
  </si>
  <si>
    <t>5/12
Natural selection simulation (predator–prey / peppered moth) + write-up (long)
Notes.Natural Selection due 5/12</t>
  </si>
  <si>
    <t>5/14
Finish labs/activities</t>
  </si>
  <si>
    <t>Urinary System (cont.) ↗
— Activities —
• Fiddle (slides): PopUp Biology nephron animation
• Short: nephron filtration &amp; reabsorption walk-through
• Long: filtration / reabsorption stations
• Alts: Drag &amp; Drop + Labeling (open-book ref) / clearance math / open-book review before Unit Exam</t>
  </si>
  <si>
    <t>5/11
Tue: Nephron filtration &amp; reabsorption — PopUp Biology</t>
  </si>
  <si>
    <t>5/13
Thu: Open-book review</t>
  </si>
  <si>
    <t>5/14
Fri: 📝 UNIT EXAM — Urinary · ref: Drag &amp; Drop, Labeling</t>
  </si>
  <si>
    <t>Entomology Review, Intro to Forensic Anthropology &amp; Human Skull
VT
Folder</t>
  </si>
  <si>
    <t>5/10
Forensic Anthropology: Intro + Skull — lesson + short (Ruxton)
📝 DRAFT.Forensic Entomology due 5/10</t>
  </si>
  <si>
    <t>5/12
Biological-profile activity · 📝 Notes due</t>
  </si>
  <si>
    <t>5/14
Catch-up / flex (EOW)</t>
  </si>
  <si>
    <t>Wk 36</t>
  </si>
  <si>
    <t>5/17
— Activities —
Fiddle (on slides): allele-frequency bean or moth simulation.
Short: 'Did it evolve?' individual-vs-population card sort.
Long: Peppered-moth allele-frequency simulation — track allele % across generations.
Alt: HHMI rock pocket mouse — allele &amp; phenotype frequencies in a population.
📝 DRAFT.Natural Selection due 5/17</t>
  </si>
  <si>
    <t>5/19
Notes.Population Genetics due 5/19</t>
  </si>
  <si>
    <t>5/21
Finish labs/activities</t>
  </si>
  <si>
    <t>Reproductive System &amp; Final Project ↗
— Activities —
• Fiddle (slides): In the Womb (NatGeo) clip
• Short: Reproductive system overview · Pirate Fertilization
• Long: The 9 Months that Made You / Final Project launch
• Alts: Tuskegee Syphilis Study (bioethics) / Reproductive Health PSA / case-study design workshop</t>
  </si>
  <si>
    <t>5/18
Tue: Lesson: Reproductive System (biology) · Pirate Fertilization</t>
  </si>
  <si>
    <t>5/20
Thu: In the Womb (NatGeo) / The 9 Months that Made You</t>
  </si>
  <si>
    <t>5/21
Fri: Bioethics — Tuskegee Syphilis Study · PSA: Reproductive Health 🦄</t>
  </si>
  <si>
    <t>Forensic Anthropology Pelvic Bone &amp; Long Bones
Folder</t>
  </si>
  <si>
    <t>5/17
Anthropology: Pelvic + Long Bones — lesson + short
📝 DRAFT.Forensic Anthropology: Intro + The Human Skull due 5/17</t>
  </si>
  <si>
    <t>5/19
Stature from long bones (Trotter–Gleser) · 📝 Notes due</t>
  </si>
  <si>
    <t>5/21
Catch-up / flex (EOW)</t>
  </si>
  <si>
    <t>Wk 37</t>
  </si>
  <si>
    <t>May 24 – May 28, 2027</t>
  </si>
  <si>
    <t>5/24
— Activities —
Fiddle (on slides): convergent-vs-divergent image sort.
Short: classify examples (shark/dolphin, Galapagos finches) as convergent / divergent / coevolution.
Long: gradualism vs punctuated fossil-timeline reading; speciation/biogeography stations.
Alt: build a phylogenetic tree from a trait table.
📝 DRAFT.Population Genetics due 5/24</t>
  </si>
  <si>
    <t>5/26
Notes.Classifying Organisms due 5/26</t>
  </si>
  <si>
    <t>5/28
Finish labs/activities</t>
  </si>
  <si>
    <t>Reproductive — Final Project (buffer)
— Activities —
• Short: Final Project work day
• Long: Design-a-Case-Study build + peer feedback
• Alts: exemplar case-study gallery walk / rubric self-check / open-book review guide</t>
  </si>
  <si>
    <t>5/25
FINAL PROJECT 🦄: Design a Case Study (work day)</t>
  </si>
  <si>
    <t>5/27
Final Project work · peer feedback</t>
  </si>
  <si>
    <t>5/28
Final Exam Review Guide (open-book)</t>
  </si>
  <si>
    <t>Forensic Anthropology Lab, Review &amp; Assessment
Folder</t>
  </si>
  <si>
    <t>5/24
Capstone: Conviction Integrity Review (launch)
📝 DRAFT.Forensic Anthropology: Pelvic + Long Bones due 5/24</t>
  </si>
  <si>
    <t>5/26
Capstone work + Unit 3 review · 📝 Notes/Capstone due</t>
  </si>
  <si>
    <t>5/28
Catch-up / flex (EOW)</t>
  </si>
  <si>
    <t>Wk 38</t>
  </si>
  <si>
    <t>Final Project &amp; Final Exam (buffer)
— Activities —
• Short: Final Project presentations
• Long: 🎓 FINAL EXAM + project due
• Alts: presentation peer-feedback form / year-end reflection / make-up window</t>
  </si>
  <si>
    <t>6/1
Final Project presentations</t>
  </si>
  <si>
    <t>6/3
🎓 FINAL EXAM + Project due</t>
  </si>
  <si>
    <t>6/4
Year-end slack / make-up</t>
  </si>
  <si>
    <t>✔ as-listed</t>
  </si>
  <si>
    <t>⚠ confirm</t>
  </si>
  <si>
    <t>Biology — Dated Cycle Calendar (real meetings, resequenced teaching order)</t>
  </si>
  <si>
    <t>Assumption: Friday A/B parity starts 9/4/26 = 'A' and alternates every calendar Friday regardless of holidays (per your instruction). Mon/Wed meet whenever school is in session. If this parity is off, every date below shifts by one Friday cycle (~2 weeks) from the point of divergence.</t>
  </si>
  <si>
    <t>Date</t>
  </si>
  <si>
    <t>Day</t>
  </si>
  <si>
    <t>Cycle</t>
  </si>
  <si>
    <t>Cycle Name</t>
  </si>
  <si>
    <t>Block</t>
  </si>
  <si>
    <t>Class Phase</t>
  </si>
  <si>
    <t>Mon 08/31/2026</t>
  </si>
  <si>
    <t>C01</t>
  </si>
  <si>
    <t>Course Launch &amp; Lab Safety</t>
  </si>
  <si>
    <t>1 of 2</t>
  </si>
  <si>
    <t>Class A + notes</t>
  </si>
  <si>
    <t>Wed 09/02/2026</t>
  </si>
  <si>
    <t>2 of 2</t>
  </si>
  <si>
    <t>Class C: draft &amp; apply</t>
  </si>
  <si>
    <t>Wed 09/09/2026</t>
  </si>
  <si>
    <t>C02</t>
  </si>
  <si>
    <t>Ecosystems &amp; Feeding Relationships</t>
  </si>
  <si>
    <t>1 of 3</t>
  </si>
  <si>
    <t>Class A</t>
  </si>
  <si>
    <t>Mon 09/14/2026</t>
  </si>
  <si>
    <t>2 of 3</t>
  </si>
  <si>
    <t>Class B</t>
  </si>
  <si>
    <t>Wed 09/16/2026</t>
  </si>
  <si>
    <t>3 of 3</t>
  </si>
  <si>
    <t>Class C</t>
  </si>
  <si>
    <t>Fri 09/18/2026</t>
  </si>
  <si>
    <t>C03</t>
  </si>
  <si>
    <t>Energy Flow &amp; Trophic Pyramids</t>
  </si>
  <si>
    <t>Mon 09/28/2026</t>
  </si>
  <si>
    <t>Wed 09/30/2026</t>
  </si>
  <si>
    <t>Fri 10/02/2026</t>
  </si>
  <si>
    <t>C04</t>
  </si>
  <si>
    <t>Cycles of Matter: The Carbon Cycle</t>
  </si>
  <si>
    <t>Mon 10/05/2026</t>
  </si>
  <si>
    <t>Wed 10/07/2026</t>
  </si>
  <si>
    <t>C05</t>
  </si>
  <si>
    <t>Photosynthesis</t>
  </si>
  <si>
    <t>1 of 4</t>
  </si>
  <si>
    <t>Mon 10/12/2026</t>
  </si>
  <si>
    <t>2 of 4</t>
  </si>
  <si>
    <t>Class A/B</t>
  </si>
  <si>
    <t>Wed 10/14/2026</t>
  </si>
  <si>
    <t>3 of 4</t>
  </si>
  <si>
    <t>Mon 10/19/2026</t>
  </si>
  <si>
    <t>4 of 4</t>
  </si>
  <si>
    <t>Wed 10/21/2026</t>
  </si>
  <si>
    <t>C06</t>
  </si>
  <si>
    <t>Cellular Respiration &amp; Fermentation</t>
  </si>
  <si>
    <t>Mon 10/26/2026</t>
  </si>
  <si>
    <t>Wed 10/28/2026</t>
  </si>
  <si>
    <t>Fri 10/30/2026</t>
  </si>
  <si>
    <t>C07</t>
  </si>
  <si>
    <t>Ecosystem Dynamics: Populations &amp; Succession</t>
  </si>
  <si>
    <t>Mon 11/02/2026</t>
  </si>
  <si>
    <t>Wed 11/04/2026</t>
  </si>
  <si>
    <t>Mon 11/09/2026</t>
  </si>
  <si>
    <t>C08</t>
  </si>
  <si>
    <t>Cells &amp; Organelles</t>
  </si>
  <si>
    <t>Fri 11/13/2026</t>
  </si>
  <si>
    <t>Mon 11/16/2026</t>
  </si>
  <si>
    <t>Wed 11/18/2026</t>
  </si>
  <si>
    <t>Mon 11/30/2026</t>
  </si>
  <si>
    <t>C09</t>
  </si>
  <si>
    <t>Cell Membrane &amp; Transport</t>
  </si>
  <si>
    <t>Wed 12/02/2026</t>
  </si>
  <si>
    <t>Mon 12/07/2026</t>
  </si>
  <si>
    <t>Wed 12/09/2026</t>
  </si>
  <si>
    <t>C10</t>
  </si>
  <si>
    <t>Enzymes</t>
  </si>
  <si>
    <t>Mon 12/14/2026</t>
  </si>
  <si>
    <t>Wed 12/16/2026</t>
  </si>
  <si>
    <t>C11</t>
  </si>
  <si>
    <t>The Cell Cycle → Cancer</t>
  </si>
  <si>
    <t>Mon 12/21/2026</t>
  </si>
  <si>
    <t>Mon 01/04/2027</t>
  </si>
  <si>
    <t>Wed 01/06/2027</t>
  </si>
  <si>
    <t>C12</t>
  </si>
  <si>
    <t>Reproduction &amp; Meiosis</t>
  </si>
  <si>
    <t>Mon 01/11/2027</t>
  </si>
  <si>
    <t>Wed 01/13/2027</t>
  </si>
  <si>
    <t>Fri 01/15/2027</t>
  </si>
  <si>
    <t>Mon 01/25/2027</t>
  </si>
  <si>
    <t>C13</t>
  </si>
  <si>
    <t>Mendelian Genetics</t>
  </si>
  <si>
    <t>Fri 01/29/2027</t>
  </si>
  <si>
    <t>Mon 02/01/2027</t>
  </si>
  <si>
    <t>Wed 02/03/2027</t>
  </si>
  <si>
    <t>Mon 02/08/2027</t>
  </si>
  <si>
    <t>C14</t>
  </si>
  <si>
    <t>DNA Structure &amp; Replication</t>
  </si>
  <si>
    <t>Wed 02/10/2027</t>
  </si>
  <si>
    <t>Fri 02/12/2027</t>
  </si>
  <si>
    <t>Wed 02/24/2027</t>
  </si>
  <si>
    <t>C15</t>
  </si>
  <si>
    <t>Protein Synthesis (Central Dogma)</t>
  </si>
  <si>
    <t>Fri 02/26/2027</t>
  </si>
  <si>
    <t>Mon 03/01/2027</t>
  </si>
  <si>
    <t>Wed 03/03/2027</t>
  </si>
  <si>
    <t>C16</t>
  </si>
  <si>
    <t>Mutations &amp; Gene Expression</t>
  </si>
  <si>
    <t>Mon 03/08/2027</t>
  </si>
  <si>
    <t>Fri 03/12/2027</t>
  </si>
  <si>
    <t>Mon 03/15/2027</t>
  </si>
  <si>
    <t>C17</t>
  </si>
  <si>
    <t>Darwin &amp; Evidence of Evolution</t>
  </si>
  <si>
    <t>Wed 03/17/2027</t>
  </si>
  <si>
    <t>Mon 03/22/2027</t>
  </si>
  <si>
    <t>Wed 03/24/2027</t>
  </si>
  <si>
    <t>C18</t>
  </si>
  <si>
    <t>Natural Selection &amp; Adaptation</t>
  </si>
  <si>
    <t>Mon 04/05/2027</t>
  </si>
  <si>
    <t>Wed 04/07/2027</t>
  </si>
  <si>
    <t>Fri 04/09/2027</t>
  </si>
  <si>
    <t>Mon 04/12/2027</t>
  </si>
  <si>
    <t>C19</t>
  </si>
  <si>
    <t>Speciation &amp; Biodiversity</t>
  </si>
  <si>
    <t>Wed 04/14/2027</t>
  </si>
  <si>
    <t>Mon 04/19/2027</t>
  </si>
  <si>
    <t>Wed 04/21/2027</t>
  </si>
  <si>
    <t>C20</t>
  </si>
  <si>
    <t>Human Impact (Capstone)</t>
  </si>
  <si>
    <t>Fri 04/23/2027</t>
  </si>
  <si>
    <t>Cycles complete: Fri 04/23/2027</t>
  </si>
  <si>
    <t>Remaining meetings (through end of year) → review, EOU assessment, buffer.</t>
  </si>
  <si>
    <t>Biology — Weekly plan aligned to the 20 concept cycles (shared school weeks · Agenda + Cycle folder linked)</t>
  </si>
  <si>
    <t>Dates</t>
  </si>
  <si>
    <t>Biology topic</t>
  </si>
  <si>
    <t>🔄 Cycle · Phase</t>
  </si>
  <si>
    <t>📁 Week folder</t>
  </si>
  <si>
    <t>Activity</t>
  </si>
  <si>
    <t>_start</t>
  </si>
  <si>
    <t>_agendaURL</t>
  </si>
  <si>
    <t>_vtURL</t>
  </si>
  <si>
    <t>Aug 31 – Sep 02, 2026</t>
  </si>
  <si>
    <t>C01 · Class A–C (full cycle)</t>
  </si>
  <si>
    <t>https://drive.google.com/open?id=19C4G-zkToJtMA8ZOmQHz1Q28gP7BWxM-UXvyzXs36zI</t>
  </si>
  <si>
    <t>https://drive.google.com/open?id=14_VhM5bUM9ZZfgs2T0zOnTpr9d-mvbXZzy8m9dSMlys</t>
  </si>
  <si>
    <t>A&amp;P REVIEW LINKS — Anatomy &amp; Physiology weekly folders  ·  folder-level (VT deck + agenda live inside each folder)</t>
  </si>
  <si>
    <t>A&amp;P week numbers track the Master grid (Year Grid) week numbers. A&amp;P is an A-Day course (meets Tue · Thu · Fri), so Monday/Wednesday closures do not affect it.</t>
  </si>
  <si>
    <t>Grid Wk</t>
  </si>
  <si>
    <t>Topic</t>
  </si>
  <si>
    <t>Sep 09 – Sep 16, 2026</t>
  </si>
  <si>
    <t>Ecosystems &amp; Feeding Relationships — notes</t>
  </si>
  <si>
    <t>Course Overview &amp; First Day</t>
  </si>
  <si>
    <t>C02 · Class A / B · build &amp; submit notes</t>
  </si>
  <si>
    <t>https://drive.google.com/open?id=1gawrUw9-400s_7DZd6Yam5max9ws6Ffa</t>
  </si>
  <si>
    <t>https://drive.google.com/open?id=1WHFEhkitoEoy6rgFFJTFzYXgSkvqHu1gHmbIOuK0tCE</t>
  </si>
  <si>
    <t>Introduction to Anatomy</t>
  </si>
  <si>
    <t>https://drive.google.com/open?id=1oT9xyGf0ga0yoLlq1ot1ZoZnU6S5Nku7LgjKGWuuUns</t>
  </si>
  <si>
    <t>https://drive.google.com/open?id=1nFdOFNK27gnkpbYpyDlktHRjdkxWIZTZ</t>
  </si>
  <si>
    <t>Sep 18 – Sep 30, 2026</t>
  </si>
  <si>
    <t>Ecosystems &amp; Feeding Relationships — draft &amp; apply</t>
  </si>
  <si>
    <t>C02 · Class C · revise draft, then apply</t>
  </si>
  <si>
    <t>https://drive.google.com/open?id=1Zmv6_jnz3ALZINgumbkn5iak2pbLHPF-u2BsdjWOL24</t>
  </si>
  <si>
    <t>Introduction to Anatomy (cont.)</t>
  </si>
  <si>
    <t>Oct 02 – Oct 05, 2026</t>
  </si>
  <si>
    <t>Energy Flow &amp; Trophic Pyramids — notes</t>
  </si>
  <si>
    <t>C03 · Class A / B · build &amp; submit notes</t>
  </si>
  <si>
    <t>https://drive.google.com/open?id=1w9qTJoS1fqb5vdRpuyFqpiSk4xSAK8sv</t>
  </si>
  <si>
    <t>https://drive.google.com/open?id=1VVDswvVFHGQELehJfFOGCqC_6-lR7Gt2DkA_XnFHHkM</t>
  </si>
  <si>
    <t>Cell Structure &amp; Function</t>
  </si>
  <si>
    <t>https://drive.google.com/open?id=1VUehjZ_oRU3puLU7bz_6ARtT9yeSfI3IX0_UZzRm0mg</t>
  </si>
  <si>
    <t>https://drive.google.com/open?id=19YfhXgO_Qo05liv-vKAqr_nd3js4EeUw</t>
  </si>
  <si>
    <t>https://drive.google.com/open?id=13RT17nQTZhNtQCiOu-cpeBeXrCDc71Zb9lKMc7_Gzjs</t>
  </si>
  <si>
    <t>https://drive.google.com/open?id=14J0WNZJfw9riWej1Uc5TbJS6IiXpIlbt</t>
  </si>
  <si>
    <t>Oct 07 – Oct 19, 2026</t>
  </si>
  <si>
    <t>Energy Flow &amp; Trophic Pyramids — draft &amp; apply</t>
  </si>
  <si>
    <t>Cell Structure &amp; Function (cont.)</t>
  </si>
  <si>
    <t>C03 · Class C · revise draft, then apply</t>
  </si>
  <si>
    <t>https://drive.google.com/open?id=1gb0TkMHz2po5IwTl3lmBrDCXGj3Blj59</t>
  </si>
  <si>
    <t>Body Tissues</t>
  </si>
  <si>
    <t>Oct 21 – Oct 28, 2026</t>
  </si>
  <si>
    <t>C04 · Class A–C (full cycle)</t>
  </si>
  <si>
    <t>https://drive.google.com/open?id=1kYF9qyTKahgPS3SueuGIqYLJiTAxlzhJ</t>
  </si>
  <si>
    <t>https://drive.google.com/open?id=1gErdQQGCkYn6AzaWeoQiag5Pk7nW2TqbfrhVeNZdQ-0</t>
  </si>
  <si>
    <t>https://drive.google.com/open?id=1kv7vHyeXAx4M35t21H5sZqMFhfrlWrSsllZ7IMjlG20</t>
  </si>
  <si>
    <t>Oct 12 – Oct 16, 2026
⚠ Fri 10/16 Teacher In-Service</t>
  </si>
  <si>
    <t>Body Tissues (cont.)</t>
  </si>
  <si>
    <t>https://drive.google.com/open?id=1dRdAXmX9u2L-0qKLeW-o9OwoMaaJsik74C9nhysu_GY</t>
  </si>
  <si>
    <t>https://drive.google.com/open?id=1JaCjVW1IZESfp0_X8EHjVSYfmmAJaHeg</t>
  </si>
  <si>
    <t>Oct 30 – Nov 04, 2026</t>
  </si>
  <si>
    <t>Photosynthesis — notes</t>
  </si>
  <si>
    <t>Skeletal System</t>
  </si>
  <si>
    <t>C05 · Class A / B · build &amp; submit notes</t>
  </si>
  <si>
    <t>https://drive.google.com/open?id=1A7pbBsRbJKzkMbABn7OWCtHfH1lGC6iR</t>
  </si>
  <si>
    <t>https://drive.google.com/open?id=1dMCxDfIPCRM8Eiv2zoW0wehXROuIhpQbO9tgFqUY_kU</t>
  </si>
  <si>
    <t>https://drive.google.com/open?id=1a5x0ws-fkIj4tXwPXk69vqSaQXz0lspZZ7ij3huMJfE</t>
  </si>
  <si>
    <t>Skeletal System (cont.)</t>
  </si>
  <si>
    <t>https://drive.google.com/open?id=1ZYpT5wS9zPXkcVCwfp6oC6M8WE1yCzVtjEqpw7OlnF8</t>
  </si>
  <si>
    <t>https://drive.google.com/open?id=11qrXHgJYciJsNZ5xAZK4zw43pxQCuToq</t>
  </si>
  <si>
    <t>Nov 02 – Nov 06, 2026
⚠ Tue 11/03 Election Day — Closed</t>
  </si>
  <si>
    <t>Skeletal Anatomy — Lab Practical</t>
  </si>
  <si>
    <t>Nov 09 – Nov 18, 2026</t>
  </si>
  <si>
    <t>Photosynthesis — draft &amp; apply</t>
  </si>
  <si>
    <t>C05 · Class C · revise draft, then apply</t>
  </si>
  <si>
    <t>https://drive.google.com/open?id=1kpNrMZwAdbOjjZ6vTe3S5vToMZjFaI7H</t>
  </si>
  <si>
    <t>Nov 09 – Nov 13, 2026</t>
  </si>
  <si>
    <t>Muscular System</t>
  </si>
  <si>
    <t>Nov 30 – Dec 07, 2026</t>
  </si>
  <si>
    <t>Cellular Respiration &amp; Fermentation — notes</t>
  </si>
  <si>
    <t>https://drive.google.com/open?id=18tVHzBvgJ8nDH72igiW8ysRaRAnuvoQE</t>
  </si>
  <si>
    <t>C06 · Class A / B · build &amp; submit notes</t>
  </si>
  <si>
    <t>https://drive.google.com/open?id=17f7slbWmxUGWajEAWfT3PxE3EfU9tz924xhPQM1Y_is</t>
  </si>
  <si>
    <t>Muscular System (cont.)</t>
  </si>
  <si>
    <t>https://drive.google.com/open?id=1sjLRPi3CFP4sSJbhCTB89jp_DEwCWN4chE_s38WOsa0</t>
  </si>
  <si>
    <t>https://drive.google.com/open?id=1xYSnkRjIDtVHNXzo12_9S24X3dqbs-Rq</t>
  </si>
  <si>
    <t>https://drive.google.com/open?id=10H4lgRBHqvSIOA_xWwXzxFA-un-UPfImGYr0IzZqEqY</t>
  </si>
  <si>
    <t>Muscles — Naming</t>
  </si>
  <si>
    <t>Dec 09 – Dec 14, 2026</t>
  </si>
  <si>
    <t>https://drive.google.com/open?id=1XCU-OpmQsxqWZMxo_uM1WfG0rVuacp1O</t>
  </si>
  <si>
    <t>Cellular Respiration &amp; Fermentation — draft &amp; apply</t>
  </si>
  <si>
    <t>C06 · Class C · revise draft, then apply</t>
  </si>
  <si>
    <t>https://drive.google.com/open?id=1azdCXd7wcSnAtuG0UAoCOWjRd0NfgbhgtWzPbkkqNnY</t>
  </si>
  <si>
    <t>Dec 07 – Dec 11, 2026
⚠ Fri 12/11 Teacher In-Service</t>
  </si>
  <si>
    <t>Muscles — Naming (cont.)</t>
  </si>
  <si>
    <t>https://drive.google.com/open?id=1EKjFh0ZgeOjEwatzXTbmNXcIXvx6UzP53KkTttmj_Yw</t>
  </si>
  <si>
    <t>https://drive.google.com/open?id=168ERgIT0MUhmsX61TdPJGMKY_jGn0Iex</t>
  </si>
  <si>
    <t>Dec 16 – Jan 04, 2027</t>
  </si>
  <si>
    <t>Nervous System</t>
  </si>
  <si>
    <t>Ecosystem Dynamics: Populations &amp; Succession — notes</t>
  </si>
  <si>
    <t>C07 · Class A / B · build &amp; submit notes</t>
  </si>
  <si>
    <t>https://drive.google.com/open?id=1u91_J5z5UNulmCN_Xk5jxpQOvCqLpFrs</t>
  </si>
  <si>
    <t>https://drive.google.com/open?id=1Wj-d32YhHkN01XQQaGvW2A1qnshje2OHGYZLZiPN8qs</t>
  </si>
  <si>
    <t>https://drive.google.com/open?id=17AH3RIWSm3EzoYOvMpOn8MIOIcYIVcKq0rr5zWmm7uM</t>
  </si>
  <si>
    <t>Jan 04 – Jan 08, 2027
⚠ Winter break begins Dec 23 · 12/21 &amp; 12/22 are school days</t>
  </si>
  <si>
    <t>Nervous System (cont.)</t>
  </si>
  <si>
    <t>https://drive.google.com/open?id=1nl_G0kH65BVa0Jnni0NKn32Y6EjgKXQkYaJA9vpugQM</t>
  </si>
  <si>
    <t>https://drive.google.com/open?id=1O9IzS44IqDt7FOODV8ry9CmJia94UwAJ</t>
  </si>
  <si>
    <t>Semester 1 Final Exam Review</t>
  </si>
  <si>
    <t>Jan 06 – Jan 15, 2027</t>
  </si>
  <si>
    <t>Ecosystem Dynamics: Populations &amp; Succession — draft &amp; apply</t>
  </si>
  <si>
    <t>C07 · Class C · revise draft, then apply</t>
  </si>
  <si>
    <t>https://drive.google.com/open?id=1g6DSCjMGDwwiRWUNn5TfNl-V0rPdbUwSHNCHJkxzswY</t>
  </si>
  <si>
    <t>Jan 18 – Jan 22, 2027</t>
  </si>
  <si>
    <t>Forensics Mini Unit (A&amp;P)</t>
  </si>
  <si>
    <t>https://drive.google.com/open?id=1JhfjicmaKUwJpG6_yzfPZkQ63XvgJ92Nhkm0eZV9dpU</t>
  </si>
  <si>
    <t>https://drive.google.com/open?id=1qLWoaF5MtnyllOb_bjfbq8XCZuU8cHp5</t>
  </si>
  <si>
    <t>FORENSICS REVIEW LINKS — weekly folders grouped by unit  ·  folder-level (decks + agenda inside each folder)</t>
  </si>
  <si>
    <t>Senses</t>
  </si>
  <si>
    <t>Unit</t>
  </si>
  <si>
    <t>F. Wk</t>
  </si>
  <si>
    <t>Cells &amp; Organelles — notes</t>
  </si>
  <si>
    <t>C08 · Class A / B · build &amp; submit notes</t>
  </si>
  <si>
    <t>Unit 1</t>
  </si>
  <si>
    <t>W01</t>
  </si>
  <si>
    <t>First Day &amp; Classroom Rules / Procedures</t>
  </si>
  <si>
    <t>https://drive.google.com/open?id=1uyxqR1SOwHPxria6IGGJY-8UUp4TKY0l</t>
  </si>
  <si>
    <t>https://drive.google.com/drive/folders/1hltb0Q71UOW9MYdaOzdekyvRUg_KA4sd</t>
  </si>
  <si>
    <t>https://drive.google.com/open?id=1xGTy2zxYlCm2Ui96lXPsvD5S80DDJaoELN4bWfbcMhY</t>
  </si>
  <si>
    <t>https://drive.google.com/open?id=1ZDer-NNBybpTys9yv4pyWcBJvUkjX5aHInwNBLlk4_Q</t>
  </si>
  <si>
    <t>https://drive.google.com/open?id=1DnnbX5OkOjZRBPyY0DD7NfaDV7nbe0CAeEj9A7k0VH8</t>
  </si>
  <si>
    <t>Senses (cont.)</t>
  </si>
  <si>
    <t>https://drive.google.com/open?id=1t2u0qW5gt80928aNaHM-wRVRMUVHGEvOz8Zd0-1XXyg</t>
  </si>
  <si>
    <t>W02</t>
  </si>
  <si>
    <t>Lab Safety, Equipment &amp; the Microscope</t>
  </si>
  <si>
    <t>https://drive.google.com/open?id=1fo26b0qrjYlcSB-8F9uW8TaD53-_SvMJ</t>
  </si>
  <si>
    <t>https://drive.google.com/open?id=1uOg6_9i1kmz2FtbF6exPfiYp0z-9pnuM</t>
  </si>
  <si>
    <t>Endocrine System</t>
  </si>
  <si>
    <t>Feb 24 – Mar 01, 2027</t>
  </si>
  <si>
    <t>Cells &amp; Organelles — draft &amp; apply</t>
  </si>
  <si>
    <t>C08 · Class C · revise draft, then apply</t>
  </si>
  <si>
    <t>W03</t>
  </si>
  <si>
    <t>Observation Skills &amp; Deductive Reasoning</t>
  </si>
  <si>
    <t>https://drive.google.com/open?id=1_d9oien_J66laPNcB4VQNrFDKRMQS_NK</t>
  </si>
  <si>
    <t>https://drive.google.com/drive/folders/1wqc1Hf-h0sxwher8qNilzrp0VpAws5N-</t>
  </si>
  <si>
    <t>https://drive.google.com/open?id=1ki2C4ujWDEv7TlVU5n-XF3_gzEhTvFM8nV34uwhs64g</t>
  </si>
  <si>
    <t>https://drive.google.com/open?id=1fAWSMozNnZVJFGxTpSQKwBjU4gLfeWVzrazH-AiaRhU</t>
  </si>
  <si>
    <t>https://drive.google.com/open?id=16N6ai03kcWxvoHeUsVy0PjIsMEGVnnTqQpDXtM9coww</t>
  </si>
  <si>
    <t>Endocrine System (cont.)</t>
  </si>
  <si>
    <t>W04</t>
  </si>
  <si>
    <t>Eyewitness Testimony &amp; The Innocence Project</t>
  </si>
  <si>
    <t>https://drive.google.com/open?id=13kRqv3DrK7x306ZQDLEvjl6q9Jl0y21M</t>
  </si>
  <si>
    <t>Mar 03 – Mar 12, 2027</t>
  </si>
  <si>
    <t>Cell Membrane &amp; Transport — notes</t>
  </si>
  <si>
    <t>C09 · Class A / B · build &amp; submit notes</t>
  </si>
  <si>
    <t>https://drive.google.com/drive/folders/1ZDLPv672eLkb4LdWOUt8NyIfDvOttlOr</t>
  </si>
  <si>
    <t>Blood &amp; Immune System</t>
  </si>
  <si>
    <t>https://drive.google.com/open?id=1fNrQu29ySWaMOobVBCr-y7mwl_9QaZSGzgqZdgufSTY</t>
  </si>
  <si>
    <t>https://drive.google.com/open?id=1TpTzaIgUeuc1A4STjkTBGdo6nH8jW4yW</t>
  </si>
  <si>
    <t>W05</t>
  </si>
  <si>
    <t>Investigative Processes &amp; Types of Evidence</t>
  </si>
  <si>
    <t>https://drive.google.com/open?id=1vYN1iL4ELHTsk61B0ulAazNcEzG4uFF3CJte6JgZsaE</t>
  </si>
  <si>
    <t>https://drive.google.com/open?id=1B6J_CZsSg_kGxWPBv0ackRr_pRtuM8ZWZEAn01LgcGo</t>
  </si>
  <si>
    <t>https://drive.google.com/open?id=13U2xS0vaVMnfyzztt2tRYZAJs7jtuOIlPRDT0qUkhMk</t>
  </si>
  <si>
    <t>https://drive.google.com/drive/folders/1Mv5tQSM2q6L1u7TfCY6L7YMoyGAExvii</t>
  </si>
  <si>
    <t>Blood &amp; Immune System (cont.)</t>
  </si>
  <si>
    <t>https://drive.google.com/open?id=1C4sG4o-XSQiEZ1BYl-jlqDd_vmO_NwDDmzpQr5Y0JMg</t>
  </si>
  <si>
    <t>https://drive.google.com/open?id=1YBoz3l3uvH5Ggqt0U4_NTN1sqECi92Py</t>
  </si>
  <si>
    <t>Mar 15 – Mar 22, 2027</t>
  </si>
  <si>
    <t>W06</t>
  </si>
  <si>
    <t>Cell Membrane &amp; Transport — draft &amp; apply</t>
  </si>
  <si>
    <t>Searching &amp; Photographing the Scene</t>
  </si>
  <si>
    <t>C09 · Class C · revise draft, then apply</t>
  </si>
  <si>
    <t>Mar 08 – Mar 12, 2027</t>
  </si>
  <si>
    <t>https://drive.google.com/open?id=1w9M7Dn0JbScAd3zfZmwUMoL0QFFStZjN</t>
  </si>
  <si>
    <t>https://drive.google.com/open?id=1J1S0BClAAUttR3m6O5yu9-zaP6LdqHph</t>
  </si>
  <si>
    <t>https://drive.google.com/open?id=1-MZ3pZe87f2q33s2jDhGTiRiSEjFZyQ8ZmzQjG_TdA0</t>
  </si>
  <si>
    <t>https://drive.google.com/open?id=1XZ7F-K9hq1xt65xCHe8WhTxPnnUw2HMrTrT7AJmt2Eo</t>
  </si>
  <si>
    <t>Heart &amp; Circulatory System</t>
  </si>
  <si>
    <t>W07</t>
  </si>
  <si>
    <t>Sketching the Scene &amp; Evidence Collection</t>
  </si>
  <si>
    <t>https://drive.google.com/open?id=11qB3do5kHcsLONa7G9jTO0EsFagFKCsS</t>
  </si>
  <si>
    <t>Mar 24 – Apr 09, 2027</t>
  </si>
  <si>
    <t>C10 · Class A–C (full cycle)</t>
  </si>
  <si>
    <t>https://drive.google.com/open?id=10jxfCVxM8G9vaoOxC8dO3Gs-j9tkwk-WStTdOOq2-XA</t>
  </si>
  <si>
    <t>https://drive.google.com/open?id=12lw8HTqNaFlWtlgPSM7ioumPHThhOjEj</t>
  </si>
  <si>
    <t>https://drive.google.com/open?id=13pRkV5c1MXLMR-C2tc6fVnAIFCZcWO9q4OI-d8XvHd4</t>
  </si>
  <si>
    <t>Heart &amp; Circulatory System (cont.)</t>
  </si>
  <si>
    <t>https://drive.google.com/open?id=1obzN3NyJYuYHMTC7r9C7atwsKnFyiQyv</t>
  </si>
  <si>
    <t>W08</t>
  </si>
  <si>
    <t>https://drive.google.com/open?id=1FGOdhMsI4NVsEZq3BtaIVAZVfZxHTGBh9KCzujPKG10</t>
  </si>
  <si>
    <t>History of Forensics</t>
  </si>
  <si>
    <t>Apr 05 – Apr 09, 2027
⚠ Fri 04/09 Teacher In-Service</t>
  </si>
  <si>
    <t>Digestive System</t>
  </si>
  <si>
    <t>https://drive.google.com/open?id=1o7i1kSvXEbRvkCXl4oTp8YKPFVwgIdi46K2SmQSdksM</t>
  </si>
  <si>
    <t>https://drive.google.com/open?id=1CucV7ljS-QkRm3qWYFtiH6SMNjZFacqw</t>
  </si>
  <si>
    <t>https://drive.google.com/open?id=1-WkzXGkoIltYQIKs42PK-6-uVN3j3b7K</t>
  </si>
  <si>
    <t>https://drive.google.com/open?id=1PlWhOzS6t0DlieJsS45JVBomCCAiiwM2_n8mIBLqDJY</t>
  </si>
  <si>
    <t>Apr 12 – Apr 19, 2027</t>
  </si>
  <si>
    <t>https://drive.google.com/open?id=1cObFuhG2qNzRZ-aSCya5HzhUzGwZa275uknvNSo_jWs</t>
  </si>
  <si>
    <t>The Cell Cycle → Cancer — notes</t>
  </si>
  <si>
    <t>C11 · Class A / B · build &amp; submit notes</t>
  </si>
  <si>
    <t>W08b</t>
  </si>
  <si>
    <t>Crime Scene to Courtroom (Mock Trial)</t>
  </si>
  <si>
    <t>Digestive System (cont.)</t>
  </si>
  <si>
    <t>https://drive.google.com/open?id=1jpL9F7t-dQ4rVfUNGilEiRHeNLieeD-o</t>
  </si>
  <si>
    <t>https://drive.google.com/open?id=190zerguRML1fMTdyIQFXiwd8ZdqFmNU1</t>
  </si>
  <si>
    <t>https://drive.google.com/open?id=19mCfUTG4lsvplXzzjdXAXagIe6-9tydgrEHhrRm08Cc</t>
  </si>
  <si>
    <t>https://drive.google.com/open?id=1DxNiLE0NwYqtK2n24quY57JOrC9Z0cwpSDxGoyTL6wQ</t>
  </si>
  <si>
    <t>Respiratory System</t>
  </si>
  <si>
    <t>W09</t>
  </si>
  <si>
    <t>Unit Review &amp; Assessment</t>
  </si>
  <si>
    <t>https://drive.google.com/open?id=1jSojIg32NnqwkcAZAjQRNF232pqyJHszIzl27Zj7Ik0</t>
  </si>
  <si>
    <t>https://drive.google.com/drive/folders/1pSK0hCQlAGxuso39aq602N2w3h7zX5zN</t>
  </si>
  <si>
    <t>https://drive.google.com/open?id=1gRmD_eTYR-qGUfaUV66pLItREm6rA0ZT</t>
  </si>
  <si>
    <t>Apr 21 – Apr 23, 2027</t>
  </si>
  <si>
    <t>The Cell Cycle → Cancer — draft &amp; apply</t>
  </si>
  <si>
    <t>W10</t>
  </si>
  <si>
    <t>C11 · Class C · revise draft, then apply</t>
  </si>
  <si>
    <t>https://drive.google.com/open?id=1EVUaCy_Fg3dUeuLlltPywaq17STxTQaB</t>
  </si>
  <si>
    <t>Mock Crime Scene</t>
  </si>
  <si>
    <t>https://drive.google.com/open?id=1rHY-4K2t5oBrBufIbuB71mQ-X7dvproI</t>
  </si>
  <si>
    <t>Apr 26 – Apr 30, 2027
⚠ Fri 04/30 Teacher In-Service</t>
  </si>
  <si>
    <t>Respiratory System (cont.)</t>
  </si>
  <si>
    <t>https://drive.google.com/open?id=1sLE3Rk-0YIiY7UDrJTOpUBw_gWWnyYKh</t>
  </si>
  <si>
    <t>Unit 2</t>
  </si>
  <si>
    <t>W11</t>
  </si>
  <si>
    <t>https://drive.google.com/open?id=13yF57Wh7rYtp1jS1JJXTQUAlBVoEF6UFDRf-w72HuZk</t>
  </si>
  <si>
    <t>Nov 09 – Nov 13, 2026
⚠ Wed 11/11 Veterans Day — Closed</t>
  </si>
  <si>
    <t>Arson</t>
  </si>
  <si>
    <t>https://drive.google.com/drive/folders/1gb7IdeH1GR3Q6begl2yvm5sUxuqy-AkV</t>
  </si>
  <si>
    <t>Urinary System</t>
  </si>
  <si>
    <t>https://drive.google.com/open?id=1ug6eZ53phR-nL-8g6DIXbVO5fba2z1cjunaRaFfUzaQ</t>
  </si>
  <si>
    <t>Reproduction &amp; Meiosis — notes</t>
  </si>
  <si>
    <t>C12 · Class A / B · build &amp; submit notes</t>
  </si>
  <si>
    <t>https://drive.google.com/open?id=1lAyGSNFcug753XOenC1SWfcKjcWRGgGb</t>
  </si>
  <si>
    <t>W12</t>
  </si>
  <si>
    <t>Ballistics</t>
  </si>
  <si>
    <t>https://drive.google.com/open?id=1-plQzF2HgiwBcHDtpQxFdGOan9U7utO066aCTjJKF0E</t>
  </si>
  <si>
    <t>https://drive.google.com/drive/folders/1KieUq8XC5Xo2H6dTx2JNCTxLnChNChRJ</t>
  </si>
  <si>
    <t>https://drive.google.com/open?id=1TQLmBImkCaWUft2Z-IXFnFr39Jc_c25QhA2kcseRF_0</t>
  </si>
  <si>
    <t>Urinary System (cont.)</t>
  </si>
  <si>
    <t>https://drive.google.com/open?id=1WLHJAZ8a4S-19KBPx_jfOmY4lAIneISAHn5wRybT0GI</t>
  </si>
  <si>
    <t>https://drive.google.com/open?id=1WqWEf3h4WR1ag4k_ePbLeONKVg3o5sArh614Ceqb8LY</t>
  </si>
  <si>
    <t>W13</t>
  </si>
  <si>
    <t>https://drive.google.com/open?id=1AiGLle3w4k5jbcqh1v_XmaLy17Bf9AHB</t>
  </si>
  <si>
    <t>Blood Evidence (Part 1)</t>
  </si>
  <si>
    <t>https://drive.google.com/drive/folders/10EI66bvbebIvsKBTH9nDPdmFB0atbq64</t>
  </si>
  <si>
    <t>Reproductive System &amp; Final Project</t>
  </si>
  <si>
    <t>Reproduction &amp; Meiosis — draft &amp; apply</t>
  </si>
  <si>
    <t>C12 · Class C · revise draft, then apply</t>
  </si>
  <si>
    <t>https://drive.google.com/open?id=1pKDefRl8-cdzrab8aOZIbVy4pfaPGt1_g-TEoJAQeAo</t>
  </si>
  <si>
    <t>https://drive.google.com/open?id=1jhctoygJPnIsW75SJzwqCJNzh2ssGZPa</t>
  </si>
  <si>
    <t>W14</t>
  </si>
  <si>
    <t>Blood Evidence (Part 2)</t>
  </si>
  <si>
    <t>https://drive.google.com/open?id=13y_kIvYYU0tvQCEjmFxt1Hocrs4EQXvqz2Btyv_bunU</t>
  </si>
  <si>
    <t>https://drive.google.com/open?id=1VbPTKFJUt5S2Jzqxdm2gGEkH3NbRZh3jkaftCNU1kqE</t>
  </si>
  <si>
    <t>https://drive.google.com/drive/folders/1EIT5207426lWCpf6ql2olNKOLsp4yNXP</t>
  </si>
  <si>
    <t>Finals Exam Review</t>
  </si>
  <si>
    <t>https://drive.google.com/open?id=16X42i_LgSIQ2A7EBIZeAQqgRrUJJC-kHi4vcJR2sq7I</t>
  </si>
  <si>
    <t>https://drive.google.com/open?id=1w8DnScRkCacCsLVAGrnRK2m22GRlMA9T</t>
  </si>
  <si>
    <t>Feb 15 – Feb 19, 2027</t>
  </si>
  <si>
    <t>Mendelian Genetics — notes</t>
  </si>
  <si>
    <t>C13 · Class A / B · build &amp; submit notes</t>
  </si>
  <si>
    <t>W15</t>
  </si>
  <si>
    <t>DNA Profiling (Part 1)</t>
  </si>
  <si>
    <t>https://drive.google.com/drive/folders/15H4F0_O8XH6NfcJMIkdYy2qXG83ww69F</t>
  </si>
  <si>
    <t>https://drive.google.com/open?id=1A8m4iIEG7aAdmy6wBt1CGx8j5PZE5Q_Brt8ckA4OUH4</t>
  </si>
  <si>
    <t>https://drive.google.com/open?id=1okLRKGBqiHN2ZNrr-hGOwTsNn4L32RkgBkQ1NzYPoag</t>
  </si>
  <si>
    <t>https://drive.google.com/open?id=1e5gJLFa5HQRCqOCYo4BXfZE_SkKWT9Uzou4FjrcAUkI</t>
  </si>
  <si>
    <t>W16</t>
  </si>
  <si>
    <t>DNA Profiling (Part 2)</t>
  </si>
  <si>
    <t>https://drive.google.com/drive/folders/1BISI-fM35z8WwBPTnlPEVQtAz8GUpT-F</t>
  </si>
  <si>
    <t>Mendelian Genetics — draft &amp; apply</t>
  </si>
  <si>
    <t>C13 · Class C · revise draft, then apply</t>
  </si>
  <si>
    <t>https://drive.google.com/open?id=1ib5r9w2asXNgJGOLrJOgixpJSVxzn_sMQtc38GYo9x4</t>
  </si>
  <si>
    <t>W17</t>
  </si>
  <si>
    <t>DNA Profiling (Part 3) &amp; Fibers</t>
  </si>
  <si>
    <t>https://drive.google.com/open?id=1CbRG_vbveTL9PvOUKFggJq11rXKrT81464_-Bc0V4Dk</t>
  </si>
  <si>
    <t>https://drive.google.com/drive/folders/15xXAFEUloUHquIH7h3IoJ8PRSwl52Bt0</t>
  </si>
  <si>
    <t>https://drive.google.com/open?id=1SjZz1OsukLlGwJnl7Vwi6-YmLqTfJ6q-TLn4p2p-HkU</t>
  </si>
  <si>
    <t>DNA Structure &amp; Replication — notes</t>
  </si>
  <si>
    <t>C14 · Class A / B · build &amp; submit notes</t>
  </si>
  <si>
    <t>W18</t>
  </si>
  <si>
    <t>Fibers</t>
  </si>
  <si>
    <t>https://drive.google.com/open?id=105xdfZsyzZ0dgOoprxdPU4PvXCRNmzmnXKbrIooXM2g</t>
  </si>
  <si>
    <t>https://drive.google.com/open?id=1igjU4S8mwPsxaFXQNFRaa7zINv-mOXdbr65KBYWl5cw</t>
  </si>
  <si>
    <t>https://drive.google.com/open?id=1jq0qwDcfxcOREMKn3nxJPRC_AtxPctug8mG2xctjMns</t>
  </si>
  <si>
    <t>https://drive.google.com/open?id=1qbtarmHNV3mZPxeGYiL6Q95Bz6TdBilEVo3LI3Pc1hE</t>
  </si>
  <si>
    <t>W18b</t>
  </si>
  <si>
    <t>Fingerprints</t>
  </si>
  <si>
    <t>https://drive.google.com/drive/folders/1csVnRXQ21snbPMTWvhA4XoBNzCTXTPW5</t>
  </si>
  <si>
    <t>DNA Structure &amp; Replication — draft &amp; apply</t>
  </si>
  <si>
    <t>C14 · Class C · revise draft, then apply</t>
  </si>
  <si>
    <t>https://drive.google.com/open?id=1_3I21buiMgu-bV3r1cbgwboJmD1tXV_iNiIF0sLH__E</t>
  </si>
  <si>
    <t>W19</t>
  </si>
  <si>
    <t>Hair</t>
  </si>
  <si>
    <t>FILE ID REGISTRY — 2026-27 Biology curriculum (do not delete)</t>
  </si>
  <si>
    <t>https://drive.google.com/open?id=1MMFd6ETm_DZdRvKSaCyLIpf0CSe2CEAWqNK8hF2qrzg</t>
  </si>
  <si>
    <t>https://drive.google.com/drive/folders/1noeDusxYUylGbMcS8KbeXA7i9dKZ3z9x</t>
  </si>
  <si>
    <t>Generated 2026-06-08 by walking the 02 Weekly folders tree. The ID is the stable handle — filenames may change when folders are reorganized.</t>
  </si>
  <si>
    <t>TOP-LEVEL</t>
  </si>
  <si>
    <t>https://drive.google.com/open?id=1oBr9K8-Ac7sxklN1X5NFJLjmXnRp50d4wY8fSLl2X1U</t>
  </si>
  <si>
    <t>ID</t>
  </si>
  <si>
    <t>Link</t>
  </si>
  <si>
    <t>Master Agenda —2026-27 v5</t>
  </si>
  <si>
    <t>1Tqh7eB_I3z-eP9FYMCPvNVclmR9VGXVaae0ZdRICy1g</t>
  </si>
  <si>
    <t>https://docs.google.com/spreadsheets/d/1Tqh7eB_I3z-eP9FYMCPvNVclmR9VGXVaae0ZdRICy1g/edit</t>
  </si>
  <si>
    <t>Protein Synthesis (Central Dogma) — notes</t>
  </si>
  <si>
    <t>C15 · Class A / B · build &amp; submit notes</t>
  </si>
  <si>
    <t>W20</t>
  </si>
  <si>
    <t>Unit 2 Review &amp; Exam</t>
  </si>
  <si>
    <t>Live Lesson Index</t>
  </si>
  <si>
    <t>17wfpiu8bMXQkDnf78CtTCeDSycGpmAY_QPgCZKSeUOQ</t>
  </si>
  <si>
    <t>https://docs.google.com/document/d/17wfpiu8bMXQkDnf78CtTCeDSycGpmAY_QPgCZKSeUOQ/edit</t>
  </si>
  <si>
    <t>https://drive.google.com/drive/folders/1pV6i3m-dHD3Psr7ZLm99jC3BzZ-MbaIF</t>
  </si>
  <si>
    <t>02 Weekly folders (root)</t>
  </si>
  <si>
    <t>Unit 2–3</t>
  </si>
  <si>
    <t>1t3OHKT4w5QwPYp_W-AEc2IhZc7BAl2ky</t>
  </si>
  <si>
    <t>W22</t>
  </si>
  <si>
    <t>https://drive.google.com/drive/folders/1t3OHKT4w5QwPYp_W-AEc2IhZc7BAl2ky</t>
  </si>
  <si>
    <t>Cold Case Synthesis (activity doc)</t>
  </si>
  <si>
    <t>https://drive.google.com/open?id=1XvQxW4sP6X7lXcA5WDjbN9io6X85Kts7PmDtnHY1sMc</t>
  </si>
  <si>
    <t>MP 1 folder</t>
  </si>
  <si>
    <t>1pjCxD1gosscGc8zuf78Q9c349hQGJzPf</t>
  </si>
  <si>
    <t>https://drive.google.com/drive/folders/1pjCxD1gosscGc8zuf78Q9c349hQGJzPf</t>
  </si>
  <si>
    <t>https://drive.google.com/open?id=1sjUJpmMkOTl7pRpFI7pL67SZiArG5p_438hIVKHYDog</t>
  </si>
  <si>
    <t>https://drive.google.com/drive/folders/19IlcUxqMHKVnhrNnsOvgWakHwAcngV9n</t>
  </si>
  <si>
    <t>MP 2 folder</t>
  </si>
  <si>
    <t>19h6-BlCQowm9dsOB-6DgAy9qzgzxjint</t>
  </si>
  <si>
    <t>https://drive.google.com/drive/folders/19h6-BlCQowm9dsOB-6DgAy9qzgzxjint</t>
  </si>
  <si>
    <t>W23</t>
  </si>
  <si>
    <t>Forensic Pathology &amp; Expert in Court (activity doc)</t>
  </si>
  <si>
    <t>Mar 29 – Apr 02, 2027</t>
  </si>
  <si>
    <t>Protein Synthesis (Central Dogma) — draft &amp; apply</t>
  </si>
  <si>
    <t>MP 3 folder</t>
  </si>
  <si>
    <t>1VCAoIrrLqc1jFWkhh5GWo4toSIbsXSxe</t>
  </si>
  <si>
    <t>C15 · Class C · revise draft, then apply</t>
  </si>
  <si>
    <t>https://drive.google.com/drive/folders/1VCAoIrrLqc1jFWkhh5GWo4toSIbsXSxe</t>
  </si>
  <si>
    <t>https://drive.google.com/drive/folders/12ZN6ebVwCyKuZ3peGMcnW6m7sx0iOQKb</t>
  </si>
  <si>
    <t>MP 4 folder</t>
  </si>
  <si>
    <t>1fLx6y1hFpnCYrfDvvlEVz1HO2kDCWqS8</t>
  </si>
  <si>
    <t>Unit 3</t>
  </si>
  <si>
    <t>https://drive.google.com/drive/folders/1fLx6y1hFpnCYrfDvvlEVz1HO2kDCWqS8</t>
  </si>
  <si>
    <t>W24</t>
  </si>
  <si>
    <t>Intro to Toxicology &amp; Drug Schedules</t>
  </si>
  <si>
    <t>https://drive.google.com/open?id=1sznscnWQNg9TNdged_tspUHQJSxQdxmqkG9b-patu0s</t>
  </si>
  <si>
    <t>FEEDBACK_AI_WORKSPACE</t>
  </si>
  <si>
    <t>https://drive.google.com/drive/folders/1iEt4G5e7ySD1cjjWFc2mFmBOrFzqAAL1</t>
  </si>
  <si>
    <t>1DtpJZuQvlabCGgBm6GdmB9SfAK5Z0rg4</t>
  </si>
  <si>
    <t>https://drive.google.com/drive/folders/1DtpJZuQvlabCGgBm6GdmB9SfAK5Z0rg4</t>
  </si>
  <si>
    <t>https://drive.google.com/open?id=1HswH502I1eYLbyf4NtncKWXgkVzGD9CFBE-sRKFHXQw</t>
  </si>
  <si>
    <t>Trendy Originals</t>
  </si>
  <si>
    <t>1PnJaf_kKZLH8ASUwAGSdKHAmZngSvWVj</t>
  </si>
  <si>
    <t>https://drive.google.com/drive/folders/1PnJaf_kKZLH8ASUwAGSdKHAmZngSvWVj</t>
  </si>
  <si>
    <t>Mutations &amp; Gene Expression — notes</t>
  </si>
  <si>
    <t>C16 · Class A / B · build &amp; submit notes</t>
  </si>
  <si>
    <t>W25</t>
  </si>
  <si>
    <t>Toxicology &amp; Forensics</t>
  </si>
  <si>
    <t>Teacher Dashboard v25 (grading pipeline — separate system)</t>
  </si>
  <si>
    <t>1FYOMv6vxbAOjSB-6gGNOxrxAlOR5VnroyNcotDytOY4</t>
  </si>
  <si>
    <t>https://docs.google.com/spreadsheets/d/1FYOMv6vxbAOjSB-6gGNOxrxAlOR5VnroyNcotDytOY4/edit</t>
  </si>
  <si>
    <t>https://drive.google.com/drive/folders/13YeLbIHejvE9Gs_J7KJNTBj7FcH3UB0V</t>
  </si>
  <si>
    <t>PER-WEEK  (02 Weekly folders)</t>
  </si>
  <si>
    <t>Week folder</t>
  </si>
  <si>
    <t>Folder ID</t>
  </si>
  <si>
    <t>https://drive.google.com/open?id=1nosImrgfj6M33rqNoPWdwRnjLoxIpkCgcJW5T5ao69A</t>
  </si>
  <si>
    <t>VT deck(s)  (name → ID)</t>
  </si>
  <si>
    <t>Activity guide ID</t>
  </si>
  <si>
    <t>Other lesson deck(s) (name → ID)</t>
  </si>
  <si>
    <t>Weekly agenda ID</t>
  </si>
  <si>
    <t>https://drive.google.com/open?id=1EvL9bVKLdcvHSVQhNB4PoCGyi_wW66TSTjXePNgYbpc</t>
  </si>
  <si>
    <t>MP1</t>
  </si>
  <si>
    <t>Week 1 Introduction to Biology</t>
  </si>
  <si>
    <t>1aw6oBV-FoJ_b5voHutoIwK0lCkV4rJsE</t>
  </si>
  <si>
    <t>Lab Safety Symbols Lesson (VT) — Student Slides → 1HiTUs_7O4-ZAiSMcjwkP_lScwGWJSnZVlWRb-KELTAs
Syllabus — Day 1 VT → 1wAHI9Tl96M5QgrURpf6NSNa4joXIyluPboAvO1f9r9c</t>
  </si>
  <si>
    <t>1ADagAL_eN_5H7v22cn-jL4Ru1gZr1VFfK-so5wXSKQo</t>
  </si>
  <si>
    <t>Lab Equipment Lesson (keep as activity, link for reference) → 1fDcA1p20NCrULWDMjKFJqf2hUc8aQZ7p_WWzZ6i1bNQ</t>
  </si>
  <si>
    <t>1UJiMFIShmPrxWF8hBppLs5AeHcgxKVM7xfvDGofxwTI</t>
  </si>
  <si>
    <t>Week 2 Ecosystems and Change</t>
  </si>
  <si>
    <t>1jrW64r1IbSBbUSDveXT1t77EiGyRzdTW</t>
  </si>
  <si>
    <t>Introduction_to_Ecology_Lesson_VT_v2 → 1eKKO97GWKn3YlJ6QZMczp2_-HMQTWZecY4djTLXApII</t>
  </si>
  <si>
    <t>https://drive.google.com/open?id=1M4jnuaa2B9YKFKziLYkDIfvpLMBWhqCA7lAzhj2Is98</t>
  </si>
  <si>
    <t>1_dP2Wk4ApTQTss0yTMHuxlTLE-Y5x5ab</t>
  </si>
  <si>
    <t>1LGwGpJde--O68MvwEsjB1H6XeAz0Bz4JWXZingNygK8</t>
  </si>
  <si>
    <t>Week 03 Energy flow intro</t>
  </si>
  <si>
    <t>1l-yFgnR7dH0XTQhbsj4BPOsaeYV6nyF5</t>
  </si>
  <si>
    <t>Intro_to_Energy_with_VT_Inserts  → 1haekvmGSRGaZ_fx8AmOTHqIgrpJzMMKNxDx0Vwsv9i8</t>
  </si>
  <si>
    <t>W26</t>
  </si>
  <si>
    <t>Mar 08 – Mar 12, 2027
⚠ Wed 03/10 Teacher In-Service</t>
  </si>
  <si>
    <t>Toxicology Review &amp; Assessment</t>
  </si>
  <si>
    <t>1jdr6IQb4MS5jSuuxSoHZclPACRPFmBmTowBeOUof4Fc</t>
  </si>
  <si>
    <t>Week 04 - Energy Flow</t>
  </si>
  <si>
    <t>1M9qdGpNVGkDcogy1UuKvWOSFuQOls1qM</t>
  </si>
  <si>
    <t>Energy Flow Lesson (VT) → 1cKGx8_epG4N7YDenIBusHHAyCae_yjfqia7T2jXv7AY</t>
  </si>
  <si>
    <t>1-97q8JS0mNlhoSHaEFCHYAxnrPBaBvK-hgtVUWxb8Ck</t>
  </si>
  <si>
    <t>Week 05 - Energy Flow biogeochemical cycles</t>
  </si>
  <si>
    <t>1q-6hEu9nMp36bhA4vHAnnp-TWk_AI2Aj</t>
  </si>
  <si>
    <t>Biogeochemical Cycles_VT → 1HSiDAkEFolSlrI4sRIrmsL2lMRu1wjgjp1vqIBQYmN4</t>
  </si>
  <si>
    <t>1AV4Fng4tk0qpUeucKG9_MWgsC5Z7ctbgrOkCsPr-gd8</t>
  </si>
  <si>
    <t>1rPKRvErn42Ah_esksYtjLeSb7Z33RKeuqJZIva_t8bI</t>
  </si>
  <si>
    <t>Week 06 - The Photosynthesis and Cellular Respiration Shuffle</t>
  </si>
  <si>
    <t>1ygP5DDpAXQHHfGfScxXG7AZOoIMSE9Xk</t>
  </si>
  <si>
    <t>Photosynthesis Lesson (VT) — Student Slides → 1Hd9NtbGYe51tRhFfG_ho6b08-frJxIdqHFXWw30vTlc</t>
  </si>
  <si>
    <t>1qE87J_GBR_PgD_erwqOIg0SOADHe2m2m-ADD87tWR_4</t>
  </si>
  <si>
    <t>1ukuTeNavYt_IKN5dxeezpgK9CSygcK_b4T_3h2iCueI</t>
  </si>
  <si>
    <t>https://drive.google.com/drive/folders/1m6RhiRFi8f7t7QHvE4eX5v3Ey7hVq3YS</t>
  </si>
  <si>
    <t>Mutations &amp; Gene Expression — draft &amp; apply</t>
  </si>
  <si>
    <t>C16 · Class C · revise draft, then apply</t>
  </si>
  <si>
    <t>Week 07 Respiration and Photosynthesis in Plants</t>
  </si>
  <si>
    <t>10h4YeyGl6kY1arm-TtqPyQq9hCt9mG29</t>
  </si>
  <si>
    <t>Cellular Respiration VT → 1406evMFVQk0gePdl0I2ThhYSc5asi9F4Xf8xOxRFLcA</t>
  </si>
  <si>
    <t>1jnIESeFIDqhSx-5ZCR3Cr-sMR7I3KP_B5MD97zVC9bY</t>
  </si>
  <si>
    <t>Week 08 - Fermentation</t>
  </si>
  <si>
    <t>1w-5HRl816HyAqEz8p2x9R5dMfg0ugqSd</t>
  </si>
  <si>
    <t>https://drive.google.com/open?id=16mHzbH9VSToSpHJaf2AvnTMiwnZHcAHD2c7bwG9hRB4</t>
  </si>
  <si>
    <t>Fermentation Lesson (VT) — Student Slides → 1YOICMwUOd2-dr1tjFmSG4qT-rrQHTGPHqo7Fvlf1_Jg</t>
  </si>
  <si>
    <t>1YOVgJfeBesli4rULdYemh5HvIbVI5xEWfdr-HpWzgUM</t>
  </si>
  <si>
    <t>1Q_OcbnAyjcouQqrurZgxF1s9NawIYSNHJrFFtFvxlz4</t>
  </si>
  <si>
    <t>Week 09 - Succession</t>
  </si>
  <si>
    <t>16mgZc4zk_PlGTM2Hcmg9srEWRSu6syec</t>
  </si>
  <si>
    <t>Ecological Succession (VT) — Student Slides → 19WtT0nztgVfwZlaPxAtUCWWJnB5_44_m_49GG-RzRC0</t>
  </si>
  <si>
    <t>1picLFOdM9HpU6OEgIvaYygZVN6bfkKfd_ioeaHpKvaI</t>
  </si>
  <si>
    <t>1idtVzpa6MP0lGpT1G_c3NNyct9Mg2CgnMHTvZ_0IuTQ</t>
  </si>
  <si>
    <t>MP2</t>
  </si>
  <si>
    <t>Week 10 - Population Ecology</t>
  </si>
  <si>
    <t>19ZqIMg1IWYJXSfml2nFCapJyW0Kcg5wt</t>
  </si>
  <si>
    <t>Population Ecology (VT) — Student Slides → 12phINg5KMROUFtxfmYX2Hn9yzSUWejBCCrfQ5hSWUJs</t>
  </si>
  <si>
    <t>11bKSsu0IMpk3VxrPLM8i3WGS2McA6BBnUbIlgYTTz6o</t>
  </si>
  <si>
    <t>1yEUM7HMAZ0aSvFN8q9FS00CuoTm-7n6iNmZRcZ4x1vI</t>
  </si>
  <si>
    <t>W27</t>
  </si>
  <si>
    <t>Week 11 - Intro to Cells</t>
  </si>
  <si>
    <t>Intro to Death &amp; What Is Death</t>
  </si>
  <si>
    <t>1Tw5cEusMRlq_dX0HiFVZRr5CWVpWsWBj</t>
  </si>
  <si>
    <t>Intro to Cells (VT) — Student Slides → 1v8ZnKnZ5dyJ39MB1kVhu3ZhHWE2yT4M4kR0tps2BBjo</t>
  </si>
  <si>
    <t>1vdHurbGzchfFEP-FTkv0ha-6NeW1Qn-gwxQoEyyqlD4</t>
  </si>
  <si>
    <t>1uxddvf2AaMEq16dFs2N9rI9Wqkm61LIJgru3kKafbUI</t>
  </si>
  <si>
    <t>https://drive.google.com/open?id=1gKBIQC0lyCG7SPhdZtg6WnAdkWjj8Eg11oGyfHHOV7s</t>
  </si>
  <si>
    <t>Week 12 - Cell Organelles</t>
  </si>
  <si>
    <t>1xBzu_zeM_2Vc3Rin3Cowa_LBXlnApYFM</t>
  </si>
  <si>
    <t>Cell Organelles (VT) — Student Slides → 1QvbUFoXZcC7DP8GLagFFqmrMx9bwwARmQkPSn059BXA</t>
  </si>
  <si>
    <t>1_cUYTMRJZWq1KfAaPCnS2k-589H8YldFgaRIKAGBVtI</t>
  </si>
  <si>
    <t>Cell Organelles Stations → 1tGlxc47pWAIB9EQt3XZd7M1CK4Gb6ON3JJc4NDXJOz0</t>
  </si>
  <si>
    <t>16U0eYUHgZFB2P1Tgn7Yqx75R-V5mfBE6_jBB0JHUW0c</t>
  </si>
  <si>
    <t>Week 13 - Get Ahead Week</t>
  </si>
  <si>
    <t>1oa-XQxJAXu3Uyv1xh3N6LmfhNMGy2NzI</t>
  </si>
  <si>
    <t>Cell Membrane Lesson → 1qbEC3Ue45CDyDXUA1chvFs6UseRA18NbMWA2kuBHSOA</t>
  </si>
  <si>
    <t>1FNH_RLKIqEoAhORnzw3bm4tbvDNRDu98kGyo1V6PrZ0</t>
  </si>
  <si>
    <t>Week 14 - Cell Membrane</t>
  </si>
  <si>
    <t>14qokLElvDM4VyqF905wHOBfHOGM21WjO</t>
  </si>
  <si>
    <t>https://drive.google.com/drive/folders/1dE9ozFTmLUgySdTKl5XscTLOjdsB-qYZ</t>
  </si>
  <si>
    <t>14CmVmMyYCp7Z4BWkVMjZ4f2gDPT3_4I0</t>
  </si>
  <si>
    <t>12pTda31YZaRH3dZ89hKoSkhlybkWqtqMFqFtVTvaSCw</t>
  </si>
  <si>
    <t>Week 15 - Cell Transport</t>
  </si>
  <si>
    <t>1rXFhD1KYT3FKTagzZXJ2CVUa2sw5UgkN</t>
  </si>
  <si>
    <t>1wM-cc_FBQMpwVN0qqiEPULUebj4EyWj0</t>
  </si>
  <si>
    <t>Cell Transport Lesson → 1Fi14HAOjoVtHm4pUI4PZ1fIpwreYEASu3-TjmhsNWxM</t>
  </si>
  <si>
    <t>1m3eF-KHjb1AKCZG8odI28ZSUZlaKNC9XC5VAuvc5IYQ</t>
  </si>
  <si>
    <t>Week 16 - Enzymes and Proteins</t>
  </si>
  <si>
    <t>1FvhitVnJ7lakJ8ycUYzD2Y3tGnXshJ8g</t>
  </si>
  <si>
    <t>11O6-i3f_W6JEPhfV2o4wUHfvS-GffbYf</t>
  </si>
  <si>
    <t>Enzymes Lesson → 1gNBzLT57xHNjkoIIDhhuu03m5HRr97PYof4GObHkv5w</t>
  </si>
  <si>
    <t>https://drive.google.com/open?id=1KmbHUXdcV6yrq36A6RCwj-z2vwUGwE-Tet2xguyoE64</t>
  </si>
  <si>
    <t>Darwin &amp; Evidence of Evolution — notes</t>
  </si>
  <si>
    <t>1O9n9i5BRelRFW1jG3Y0mreKJJuuqXRGXGRQ9uo39-8Y</t>
  </si>
  <si>
    <t>C17 · Class A / B · build &amp; submit notes</t>
  </si>
  <si>
    <t>Week 17 Cellular Respiration and Glycolysis</t>
  </si>
  <si>
    <t>1nAsTFRWIOnIxqMzB5puEN8Fqq8zdgNgT</t>
  </si>
  <si>
    <t>1p7J0FTKFFBK0gOF99CZ8f7EfsRHJ842_</t>
  </si>
  <si>
    <t>Cellular_Respiration_and_Glycolysis_revised → 1ub2pACvXqnpvvqWNkLo-iq0wJmkyXmmgS4PMamAeADQ</t>
  </si>
  <si>
    <t>19iROR7pcXcCQSaF9q1qBDwoCgfRKnRK_qwb8OmUg6dA</t>
  </si>
  <si>
    <t>Week 18 - Cell Regulation and Cancer</t>
  </si>
  <si>
    <t>13RiPJcPdOnzpdt2DuB2rSAp9MW0TJGPy</t>
  </si>
  <si>
    <t>Cell Regulation and Cancer (VT) — Student Slides → 1_prQJg8LMprcUqAk9uCE3YXqcwbGbHcwaNdst8U9ntw</t>
  </si>
  <si>
    <t>1bqDc9rTAPKyOYPkZYZ1Jnhd3CbRLDTMZ0luErPo9UF8</t>
  </si>
  <si>
    <t>1Lay4DE1eMgWlXDwhZ_FBrI2hjmzgS-9hRXU2Ce2cUig</t>
  </si>
  <si>
    <t>W28</t>
  </si>
  <si>
    <t>MP3</t>
  </si>
  <si>
    <t>Mar 22 – Mar 26, 2027</t>
  </si>
  <si>
    <t>Stages of Decomposition &amp; The Body Farm</t>
  </si>
  <si>
    <t>Week 19 - The Cell Cycle</t>
  </si>
  <si>
    <t>1zMoUtJSiZDuJhX9EuC-Rz2YHxIOS6ow4</t>
  </si>
  <si>
    <t>The Cell Cycle VT → 1-soPk3-_eNHVQdQJ0G7d0iGr7MHzTilRngRK4rGM8dE</t>
  </si>
  <si>
    <t>1GA7rAU60r6tu3aq3XYvEX6kpe_PPMi3p</t>
  </si>
  <si>
    <t>The Cell Cycle Lesson → 1YqSeY5xD1wRN14iBadM33l_xugUsB42Oum3k1iwn_Q4</t>
  </si>
  <si>
    <t>1b3q2PsmL784hBLzDYlnqn1KnNMJyqBtbTUwEIzt09RY</t>
  </si>
  <si>
    <t>Week 20 - Asexual &amp; Sexual Reproduction</t>
  </si>
  <si>
    <t>1u6H71nCwdnm--H1fcyPHcHxo9Ewmnnwa</t>
  </si>
  <si>
    <t>Asexual &amp; Sexual Reproduction VT → 1QNOE91kzZXBTvFp-hGZTTTyWj1yUuOOumP_QIE45Ii0
Asexual &amp; Sexual Reproduction VT — Insert Slides → 1H5p8dBr-mnuRc3fz9sREwk_xMpDcyf1OkT64G6f6hms</t>
  </si>
  <si>
    <t>1ZZV9d_JcUxIM3yjVKoRD5ldJgfrNICXC</t>
  </si>
  <si>
    <t>Asexual_Sexual Reproduction DNB → 1LV575gyFct7Wt5jmX6M5X-1ZQLPICUmuJHDy1q-XrpA</t>
  </si>
  <si>
    <t>1sdNtydvPva_qiId9pWCDlFnN6WsU0Makt3zIpWoSVaQ</t>
  </si>
  <si>
    <t>Week 21 - Stem Cell Differentiation</t>
  </si>
  <si>
    <t>17T_wwiyqv4Q_hiKmoWuDePszcxnRJApB</t>
  </si>
  <si>
    <t>Stem Cell Differentiation VT → 1BXJFyQcNfYf5QTUiD8ow7wF8PM2CzBIBU8Se3okS_EQ</t>
  </si>
  <si>
    <t>1l4Ggk0SFFW_nMjxEVicNLkCDwCZG0foK</t>
  </si>
  <si>
    <t>24 → 1DGumjzvGwztZCWBV_uy_c5DCPBAXiSy0VcGoJbkgfUM</t>
  </si>
  <si>
    <t>1mzNBa8ziSZ9935eZ3OoIbVj8PEGTAP3W181-aEuxFXY</t>
  </si>
  <si>
    <t>https://drive.google.com/drive/folders/16pxsfcoyy-gBRuxtu2l2qlkMiJ_3Tuer</t>
  </si>
  <si>
    <t>Week 22 - Introduction to Heredity</t>
  </si>
  <si>
    <t>1iZ3HgmIvXIEcTaYbEqmSipYl8NIXvK62</t>
  </si>
  <si>
    <t>Introduction to Heredity (with VT inserts) → 14bm13l3KBEflLiuCcUtP9_uNv0i3udaLHzQNn-aBnpg</t>
  </si>
  <si>
    <t>1X-_WmeJ0mhT2nclPSJMUln_HiD_-5Kqs</t>
  </si>
  <si>
    <t>Copy of PoL2e-Fig-07-11-Layered-Mitosis and Meiosis A Comparison → 1vSozKKIJ8cxhdZtsbXMatVGnqcSDGSNRJOKFNt5Pims</t>
  </si>
  <si>
    <t>1jNq_uZ1q9g-bEkRoS9AboxUIXl44bDeZo4X463NKelI</t>
  </si>
  <si>
    <t>Week 23 - Intro to Genetics &amp; Mendel</t>
  </si>
  <si>
    <t>https://drive.google.com/open?id=1rQQ6GEaWQOcUQNaKZNX3nH3DvPJ8IEHP7oSAhQMUhhs</t>
  </si>
  <si>
    <t>16CZB3Sn918GUopd0xh1T4YKPMsOd0MBr</t>
  </si>
  <si>
    <t>Mendelian Genetics (with VT inserts) → 1-BZCWCQwOQ14jocdkjQ7oN8BWe4x6qdakffPLbsJZ2g</t>
  </si>
  <si>
    <t>1SaPFOclh8vUNyyRfj_KqyEn1UBd_8DQo4r5zlKcoZk8</t>
  </si>
  <si>
    <t>1odSKZquAYZL3TmlTpfNccbIYOYDvdZz6AQ498UMk4rU</t>
  </si>
  <si>
    <t>Week 24 - Genetics Continued: Punnett Squares</t>
  </si>
  <si>
    <t>https://drive.google.com/open?id=1Na4rSGlIJXMgKjILGGmAlcad6_bJJkjU6vDeECFNgYo</t>
  </si>
  <si>
    <t>1H0-KS4pihJW7Ud8bBRf7xeXU_Zfuk9z7</t>
  </si>
  <si>
    <t>Genetics Continued (with VT inserts) → 1q0C1-WIbxkMGwXeIPxJzydVCFj-ePeTYUQPKRQL-NSw</t>
  </si>
  <si>
    <t>1VkT6jpOrdqtPH0uC2aLr05sMAFe9BTZqRJtxnwsSdTg</t>
  </si>
  <si>
    <t>Pedigrees Lesson → 1qnJ3-O1lPiG7rXAoWVrG-0Vwk4qfQr0B5Dt3iY6dALw</t>
  </si>
  <si>
    <t>1TAk7g9MuSuEec2l2xGUdGXcd7AA5SA2Dk59PsuY1its</t>
  </si>
  <si>
    <t>Week 25 - Dihybrid Crosses</t>
  </si>
  <si>
    <t>1NSn-A8Hv0vq4fr8SGzUhqOkPtHd0tK-x</t>
  </si>
  <si>
    <t>Mendels Laws &amp; Dihybrid Crosses (with VT inserts) → 1yEkWLTUpHxTRl7Ur6qru5JVrTy4aQLqDiaxKm4ImRUk</t>
  </si>
  <si>
    <t>1_5cvReY_d1DZ3wrneuIRr3zZ6-eH63JfKrUdi7k3PWs</t>
  </si>
  <si>
    <t>https://drive.google.com/open?id=1Xm_eEma4ZM08PUhv19fV5A9nRh2Fr6LJs_Cuu7bfhWU</t>
  </si>
  <si>
    <t>1T1-zThea7W2GcbShafnzcR2t8Di4SBzaW3cwg6Wu2MI</t>
  </si>
  <si>
    <t>Week 26 - DNA Structure</t>
  </si>
  <si>
    <t>1ZhIvwdkvpIFGTyvoXc1jxJubZ5ORXT5V</t>
  </si>
  <si>
    <t>DNA Structure — VT Inserts → 1MEn7DM5N9IVLaZ61kfIrJ2uzV1z1O5e2AATrNeI6qe4</t>
  </si>
  <si>
    <t>1JEOZFJaPLKg4NYAS1E3-3gUA4PGF5vAb</t>
  </si>
  <si>
    <t>1a1qKMmdtEnGUmNPO8a2wbxo36-Mzk1NgDEjDvQTskQc</t>
  </si>
  <si>
    <t>W29</t>
  </si>
  <si>
    <t>Week 27 - DNA Replication</t>
  </si>
  <si>
    <t>Livor / Rigor / Algor Mortis (Time of Death)</t>
  </si>
  <si>
    <t>1tmVldIuVYKb7Fb1K3GGwRd2U0jdcbqth</t>
  </si>
  <si>
    <t>DNA Replication VT (3-Tier) → 1a7L6eswsBcKCu3rh4hfA2sxD0H7ohzFSIVUGuaGjsr4</t>
  </si>
  <si>
    <t>18CV6b5OK7Nql15gESLXphjavYIezvHK_</t>
  </si>
  <si>
    <t>1votUPAGh-BnezTW47wJitXkspJgtXHe0nkLZjhAoXrs</t>
  </si>
  <si>
    <t>MP4</t>
  </si>
  <si>
    <t>Week 28 - Meiosis and Sexual Reproduction</t>
  </si>
  <si>
    <t>1u4HQ8KCNwn9t5pTPkBNj0BhrE_xYuKpG</t>
  </si>
  <si>
    <t>The Process of Meiosis — VT Inserts → 1muSsL4GWQmJOrRWsTYCPTH-3ai3CILoEKOpoNox9oW8</t>
  </si>
  <si>
    <t>1y7NQdEshCmt6nXHEcHEG4c9mhdZvAIgzwMazvVztF8A</t>
  </si>
  <si>
    <t>162UNyJig8nNdKyQvItHe8xyXaA9Li86FpDUBobid6fQ</t>
  </si>
  <si>
    <t>Week 29 - Genes and Chromosomes</t>
  </si>
  <si>
    <t>1j_zugc-LYuPFqvIDd5Zuf0-qcrKzyqEh</t>
  </si>
  <si>
    <t>Genes and Chromosomes (VT) — Full Lesson → 12A8Y2Sow0Jw-2QIcq8dqeJ_4CI7Db6qWDFEwtE1FeEA
(student-slides + Meiosis decks pending trash)</t>
  </si>
  <si>
    <t>1KAhlgmMITFjOBfzyzOh8P0iPpnb-J3Jj</t>
  </si>
  <si>
    <t>1kf1rinfdSm3Bv518YXD_aoP1ozWlzaBT70DFT9QOe54</t>
  </si>
  <si>
    <t>Week 30 - Protein Synthesis Transcription and Translation</t>
  </si>
  <si>
    <t>18BXCourmJnrMqeitagZy9aaWQ7ewKAqb</t>
  </si>
  <si>
    <t>Protein Synthesis.VT → 1MmhNPP9-0EthzIwwzv0bcUpHB5tXmbKv6TyJAlqwVi0</t>
  </si>
  <si>
    <t>https://drive.google.com/drive/folders/1k3yJR5ZxudOPpkUB50pev1GaL_ZHc9Aq</t>
  </si>
  <si>
    <t>1o4_GJwpks9OSG7YNv061aQT0Ef53AbWt</t>
  </si>
  <si>
    <t>Darwin &amp; Evidence of Evolution — draft &amp; apply</t>
  </si>
  <si>
    <t>Protein Synthesis (Extension) Lesson → 1OuD-xotTPvdAOelHozWrv7jxhaZdW85cFeDu4qk9P-A</t>
  </si>
  <si>
    <t>1INs76QDjnkWTVHd1jDdxxmxOd_eQdrLZeEbri-pv0kw</t>
  </si>
  <si>
    <t>C17 · Class C · revise draft, then apply</t>
  </si>
  <si>
    <t>Week 31 - Cell Differentiation and Gene Expression</t>
  </si>
  <si>
    <t>1W2xKDSg3O79TlJlkS3R_pP0V76POHS4i</t>
  </si>
  <si>
    <t>Biotechnology VT → 1ucYyrZ7JkDHrFCx7fZ7aVYZn-KvTB8mcMBT1tTUjqlQ
Genetic Mutations VT → 1nY-kFY8q_ZOfhUJR53MvpiXU_5aIsUaFwXZKH4Ql2Aw
Mutations and Genetic Disorders VT → 1vp1U1P5nIElUnWZ1QlUpGhJNxTYIce4NutF5KEG95NU</t>
  </si>
  <si>
    <t>107vXVtSOnySUvYPEIaex5jubUaBAJ81U</t>
  </si>
  <si>
    <t>Biotechnology Lesson → 1HEubuP4PMn2VZdinLxP0LnENCfnWOvXkemFJtcUhukU
Genetic Mutations Lesson → 1YLnvRO-Z2kMu--FAzY6EvyiUBTTuGuSiSUHuwJmV5Yg
Mutations and Genetic Disorders Lesson → 1nyPkRXvwjA9tmAO0HzBGQ8NckZFRxqr5XOzGGsmBktg</t>
  </si>
  <si>
    <t>1H4CaZoAq0SmDcV7ua-7txxCJfrmjNgRPYF5kNW_Zxro</t>
  </si>
  <si>
    <t>Week 32 - Darwin and the Development of a Theory</t>
  </si>
  <si>
    <t>1jv23eIOW0TR8AjfgY6DcfGMyfYVbpTbQ</t>
  </si>
  <si>
    <t>Intro_to_Evolution_VT → 1O135e47JJREZIVzcm47cRhaVdvUR1byasz9sEfQN3J0</t>
  </si>
  <si>
    <t>1vVaTcC1dwPMGEBLyFmD8UHT00j46QgIX</t>
  </si>
  <si>
    <t>https://drive.google.com/open?id=1C6AGVsT0iRU7v8knb3NAnvZAGUZvBVDz4HYOmKpeT94</t>
  </si>
  <si>
    <t>1f0b3e9_D3wR_l7JFlxxH8ARW1kPEWGBYIMv-_munnr4</t>
  </si>
  <si>
    <t>Week 33 - Using Fossil Evidence to Investigate Whale Evolution</t>
  </si>
  <si>
    <t>1FsOZVdktgJWZwUpKPWHSi04N9REx2y-1</t>
  </si>
  <si>
    <t>Evidence_of_evolution_VT → 1BEMdtVdr9lM-E2srb2toqhAUjgYC6H--o4eoVAJjDdo</t>
  </si>
  <si>
    <t>1ZXv7b7iMbSaZP7whiTDcSKVRvml-8Jq_</t>
  </si>
  <si>
    <t>1Dq0h2thIdYmo-VDhuzmDZFS_g59eO8ZWKpnjmqkpY5Y</t>
  </si>
  <si>
    <t>Week 34 - Natural Selection</t>
  </si>
  <si>
    <t>1Z8s2IFNaGmCYuNfFyOSOmMzSSozp_V_0</t>
  </si>
  <si>
    <t>Natural_Selection_VT → 1JWDRCr-kG29zkh5tn3xTadLkT1vO0ZjztqiouhaQh6Q</t>
  </si>
  <si>
    <t>15UCHtM0uIXt77A3-REn8whCPhaABFK9N</t>
  </si>
  <si>
    <t>1xA7njv_I-54J5bJVkTXaY_1nl-_JzLZtbBZFikuCqJ0</t>
  </si>
  <si>
    <t>Week 35 - The Genetic Basis of Adaptation</t>
  </si>
  <si>
    <t>1Rwi2WAipER8KM-4thtqRxwLl6p8TO4Gt</t>
  </si>
  <si>
    <t>W30</t>
  </si>
  <si>
    <t>Population Genetics VT — Insert Slides → 1xEiAA2N_phvzqN384SGRA0g38DJUojFpXK4x2SzdkXs</t>
  </si>
  <si>
    <t>1wNn0Xpiotstvo7oZ0j5APZILwvB3MaES9Ymdjyh0zr0</t>
  </si>
  <si>
    <t>Autopsy Week (+ Pig Autopsy / Necrobiome materials in Unit 3 folder)</t>
  </si>
  <si>
    <t>Population Genetics Lesson → 1tNM286TRPWg90WbpGbc9GKbCOhcKhRa92-EEjZFdIbg</t>
  </si>
  <si>
    <t>1k_aBr22N5MXXBsq2uI7HjOT7i5ILugLw03Tz64RUuGE</t>
  </si>
  <si>
    <t>Week 36 - The Processes and Outcomes of Evolution</t>
  </si>
  <si>
    <t>1ZDFeBWJX3BN9Gkub_-l9jfEXZbCiVf47</t>
  </si>
  <si>
    <t>https://drive.google.com/open?id=1nOmkJjqw2hPTb_4TQplvWtt8kbMPFtQvlgJ-ej0p-lI</t>
  </si>
  <si>
    <t>Classifying_Organisms_with_VT_inserts → 1O6yNvUUdCKjAVaTgci9MqiBjhJPK0ZtPR6CxgutWO3k
Evolutionary Patterns VT → 1CTukWBxG11MN1E7ZG0idRTA01XxE3HaOsNjKt2vYRP4</t>
  </si>
  <si>
    <t>https://drive.google.com/drive/folders/1ovwwHcYCJhKqjwz0Mm0g9XSilKB6HI_H</t>
  </si>
  <si>
    <t>Evolutionary Patterns and Processes Lesson → 17YDah_9M2FPKi7czp-wv0y_B0sBQnUzk6t5zR4XN4AA</t>
  </si>
  <si>
    <t>1F1rFXJE2hT0xyHLrzDJmk2UmiC0r_WndSua-FvaFpfE</t>
  </si>
  <si>
    <t>1vyEAFFf2rSFKqA-_PLyjfMYSglKmthI2diri2GKbFIU</t>
  </si>
  <si>
    <t>FORENSICS — ACTIVITY MATERIALS  (Wk 10 / 22 / 23 · added 2026-06-11 · in Forensics root folder)</t>
  </si>
  <si>
    <t>https://drive.google.com/open?id=18G3CJXHkkbiLKz8HfptE5DGjroxj6eSAFDdtMlsYIz4</t>
  </si>
  <si>
    <t>Name</t>
  </si>
  <si>
    <t>Wk10 Mock Crime Scene — Student Packet</t>
  </si>
  <si>
    <t>Natural Selection &amp; Adaptation — notes</t>
  </si>
  <si>
    <t>1rHY-4K2t5oBrBufIbuB71mQ-X7dvproI</t>
  </si>
  <si>
    <t>C18 · Class A / B · build &amp; submit notes</t>
  </si>
  <si>
    <t>https://drive.google.com/file/d/1rHY-4K2t5oBrBufIbuB71mQ-X7dvproI/view</t>
  </si>
  <si>
    <t>W33</t>
  </si>
  <si>
    <t>Intro to Entomology &amp; Time of Death</t>
  </si>
  <si>
    <t>https://drive.google.com/drive/folders/1EE5CtmQ7lZtdSsbA0YL5px5xIi8cjXzK</t>
  </si>
  <si>
    <t>Wk10 Mock Crime Scene — Teacher Setup &amp; Key</t>
  </si>
  <si>
    <t>1eSZ4Rblxf-1jzj2KsaBclcXNUyVIJADh</t>
  </si>
  <si>
    <t>https://drive.google.com/file/d/1eSZ4Rblxf-1jzj2KsaBclcXNUyVIJADh/view</t>
  </si>
  <si>
    <t>https://drive.google.com/open?id=1TuSrBkj6t2UlQpuCB2KO84IAtZvnwrql_CPptARCtGg</t>
  </si>
  <si>
    <t>https://drive.google.com/open?id=1XeoOfW9gcwd6SwFoupHGYRT_ULGAySQs_zBsrvaqw1s</t>
  </si>
  <si>
    <t>W34</t>
  </si>
  <si>
    <t>Entomology Review, Forensic Anthropology &amp; Human Skull</t>
  </si>
  <si>
    <t>Wk22 Cold Case Synthesis — Student</t>
  </si>
  <si>
    <t>https://drive.google.com/open?id=1dOCoNeD99kcN9U89FfNee3KKkJw-8bJsxXE9HGQkgl4</t>
  </si>
  <si>
    <t>19IlcUxqMHKVnhrNnsOvgWakHwAcngV9n</t>
  </si>
  <si>
    <t>https://drive.google.com/file/d/19IlcUxqMHKVnhrNnsOvgWakHwAcngV9n/view</t>
  </si>
  <si>
    <t>https://drive.google.com/drive/folders/1R3M3C0dc0h5M3tX80-6Kzgp5zC3Gxwko</t>
  </si>
  <si>
    <t>Wk22 Cold Case Synthesis — Teacher Key</t>
  </si>
  <si>
    <t>1L_ehzJbZg7gB5ylolMFdtaXb3ld0URPN</t>
  </si>
  <si>
    <t>Natural Selection &amp; Adaptation — draft &amp; apply</t>
  </si>
  <si>
    <t>https://drive.google.com/file/d/1L_ehzJbZg7gB5ylolMFdtaXb3ld0URPN/view</t>
  </si>
  <si>
    <t>C18 · Class C · revise draft, then apply</t>
  </si>
  <si>
    <t>https://drive.google.com/open?id=1sbT6z6zDgZyURg1QMek_6tz8uEg7qFHkASjQPq-pePQ</t>
  </si>
  <si>
    <t>W35</t>
  </si>
  <si>
    <t>Forensic Anthropology — Pelvic &amp; Long Bones</t>
  </si>
  <si>
    <t>Wk23 Forensic Pathology &amp; Expert in Court — Student (+ teacher notes)</t>
  </si>
  <si>
    <t>12ZN6ebVwCyKuZ3peGMcnW6m7sx0iOQKb</t>
  </si>
  <si>
    <t>https://drive.google.com/file/d/12ZN6ebVwCyKuZ3peGMcnW6m7sx0iOQKb/view</t>
  </si>
  <si>
    <t>https://drive.google.com/open?id=1iuXuQjwDVcn7V_IpHwsvVA4hOsiOtg5i4I6gXypIiGg</t>
  </si>
  <si>
    <t>https://drive.google.com/drive/folders/16tLr2FU7HB2d19Ked6DMexef0-jz2JNZ</t>
  </si>
  <si>
    <t>FORENSICS — PER-WEEK (activity guides + weekly agendas · added 2026-06-13 · guides in lesson folders; agendas in _Weekly Agendas folder 1eyQXoUfWfsk0hwl250ytc1buwf7Trd9N)</t>
  </si>
  <si>
    <t>https://drive.google.com/open?id=1ajqhzbmaq43OZPg0yQT4qTTR47neKBOATHX3jMu1WTY</t>
  </si>
  <si>
    <t>Type</t>
  </si>
  <si>
    <t>Activity guide ID(s)</t>
  </si>
  <si>
    <t>Wk01</t>
  </si>
  <si>
    <t>Aug 31–Sep 04</t>
  </si>
  <si>
    <t>Speciation &amp; Biodiversity — notes</t>
  </si>
  <si>
    <t>Course intro / syllabus</t>
  </si>
  <si>
    <t>C19 · Class A / B · build &amp; submit notes</t>
  </si>
  <si>
    <t>W36</t>
  </si>
  <si>
    <t>stub</t>
  </si>
  <si>
    <t>Forensic Anthropology Lab, Review &amp; Assessment</t>
  </si>
  <si>
    <t>1pNoDe7m1a5q8hBjbu8UsOQ0wUGUv89w1htgb4SzXrWk</t>
  </si>
  <si>
    <t>Wk02</t>
  </si>
  <si>
    <t>Sep 07–11</t>
  </si>
  <si>
    <t>Course intro / lab safety</t>
  </si>
  <si>
    <t>1tzGBkVQJequgoofZepvfY3A-byLwLdOpWjc9im7fmq4</t>
  </si>
  <si>
    <t>Wk03</t>
  </si>
  <si>
    <t>Sep 14–18</t>
  </si>
  <si>
    <t>Introduction to Forensics + Eyewitness Accounts</t>
  </si>
  <si>
    <t>https://drive.google.com/drive/folders/1_ekC-cAORs7LW1XAPijg7P7dgcQfMIIN</t>
  </si>
  <si>
    <t>teach</t>
  </si>
  <si>
    <t>1oz7RKo0CgKJruWHNQ8jq5Zik2QeUtDU5XuzP7E81f7k; 1s6qipc4hbhtn2Sm2Ob9Q6KJ-RpUMHTW1Nd2qLW-dQh8</t>
  </si>
  <si>
    <t>1JiZqaSfUCwjmIuoj73n4vCBj8g7EL9jxPaL1KJvfPCc</t>
  </si>
  <si>
    <t>Wk04</t>
  </si>
  <si>
    <t>Sep 21–25</t>
  </si>
  <si>
    <t>Investigative Processes (Steps of CSI) + Types of Evidence</t>
  </si>
  <si>
    <t>1AcCoqBRMjP8HxTN4YhdgoJHG8YsmP_pUbhIQxR63RX8; 1DXUieD4_XPyW_WXtMcTJ--csEclE2iBcyAUZxi9opRg</t>
  </si>
  <si>
    <t>1PL_ShQ21tsAvsGH4_farW91ZfMW0OsWUFU0gEUhUG2E</t>
  </si>
  <si>
    <t>Wk05</t>
  </si>
  <si>
    <t>Sep 28–Oct 02</t>
  </si>
  <si>
    <t>https://drive.google.com/open?id=114LKWFsE9wDyDy9QpjXPqMyCyi4_TIrfHAtmZzAZqKE</t>
  </si>
  <si>
    <t>Observation &amp; deductive-reasoning practice</t>
  </si>
  <si>
    <t>observation</t>
  </si>
  <si>
    <t>1-Y7QzFWgqB52vitoVjP9P3MRfB2c-cls09xcnmNzuxA</t>
  </si>
  <si>
    <t>Wk06</t>
  </si>
  <si>
    <t>Oct 05–09</t>
  </si>
  <si>
    <t>Searching the Scene + Crime Scene Photography</t>
  </si>
  <si>
    <t>10b5dnhsHJU0cUVZjN14UKXcr7MRw2rSl-FXa22nlXks; 1ULgGp13XkoEmqVnkcIbNwnn2N3bUYNrufUlfIW_du9k</t>
  </si>
  <si>
    <t>https://drive.google.com/open?id=1US0KqN9vPf7ogwEVxcFWhaaJVGx7BICg70RoDr8cqRI</t>
  </si>
  <si>
    <t>1Euq_aGLTDFof_f0PPa3IMCAjUOubVGd2Qz4KCZfd_8g</t>
  </si>
  <si>
    <t>Wk07</t>
  </si>
  <si>
    <t>Oct 12–16</t>
  </si>
  <si>
    <t>Sketching the Scene + Evidence Collection</t>
  </si>
  <si>
    <t>1DstCArAp7lAf1LpJaZzra94a_zJa9nBHc95jyNAuWvs; 1bFepHGCFqj3T8SbqMP7uGFu9wywpxtnFdbTsVpWu2us</t>
  </si>
  <si>
    <t>1fOnykzGfuryRODvm1-wu6JX6r25Cys_A-vm-63cDuaw</t>
  </si>
  <si>
    <t>Wk08</t>
  </si>
  <si>
    <t>Oct 19–23</t>
  </si>
  <si>
    <t>The History of Forensics + Crime Scene to Courtroom</t>
  </si>
  <si>
    <t>1BqwJeX1YEsgosRmVj5UPkRg6YThpPRG1Z08-u0UEDWo; 1YGGLHRAaFxuRiw-tG6Q9ygbDHhLgTYZHDQhThPqAB5Q</t>
  </si>
  <si>
    <t>1UdLPgr-nDK7kdw8B1c4FoQ-JXt6Y3IhU1rsNnSIzxN0</t>
  </si>
  <si>
    <t>Wk09</t>
  </si>
  <si>
    <t>Oct 26–30</t>
  </si>
  <si>
    <t>Unit 1 — Review &amp; Assessment</t>
  </si>
  <si>
    <t>Speciation &amp; Biodiversity — draft &amp; apply</t>
  </si>
  <si>
    <t>C19 · Class C · revise draft, then apply</t>
  </si>
  <si>
    <t>1Ee4971m3x3hI0QFOkpo_qyS4hb92weCf2OzZ7Uf7_8Q</t>
  </si>
  <si>
    <t>Wk10</t>
  </si>
  <si>
    <t>Nov 02–06</t>
  </si>
  <si>
    <t>Mock Crime Scene — Unit 1 CSI Capstone</t>
  </si>
  <si>
    <t>pointer</t>
  </si>
  <si>
    <t>1d1SO-ay7Wmg1xbCKjdB9aoq57xmNMjWbO-HDXbqf0hk</t>
  </si>
  <si>
    <t>Wk11</t>
  </si>
  <si>
    <t>Nov 09–13</t>
  </si>
  <si>
    <t>1XSk-m0wraSDOAydKKrcHHPbkB4Fm7CVbi9jqyoddNaM</t>
  </si>
  <si>
    <t xml:space="preserve"> </t>
  </si>
  <si>
    <t>1Z0Ekwsf6TOHvPI_fX4DNKvPC3E7QO1j9dvUEBLjVKZ4</t>
  </si>
  <si>
    <t>Wk12</t>
  </si>
  <si>
    <t>Nov 16–20</t>
  </si>
  <si>
    <t>1UW6wcGpWDHrkroHTi2I7V93nYF8BjE2Iu4Ir1eX7voY</t>
  </si>
  <si>
    <t>1JkwWgGyiRGUQFgBN_bYn8fMbqnjMCZZdNqtDT5UU2UA</t>
  </si>
  <si>
    <t>Wk13</t>
  </si>
  <si>
    <t>Nov 23–27</t>
  </si>
  <si>
    <t>No classes — in-service + Thanksgiving</t>
  </si>
  <si>
    <t>C20 · Class A–C (full cycle)</t>
  </si>
  <si>
    <t>1Zbq8HrD1-BsR5M2AcYMSPW7cD_vM6DCzgxK5q7YNQjY</t>
  </si>
  <si>
    <t>Wk14</t>
  </si>
  <si>
    <t>Nov 30–Dec 04</t>
  </si>
  <si>
    <t>Blood Evidence</t>
  </si>
  <si>
    <t>1SBhuvC2rmosXLCLt1UL7CvNbO5dsDUT_7aE3CX_6uVI</t>
  </si>
  <si>
    <t>Wk15</t>
  </si>
  <si>
    <t>Dec 07–11</t>
  </si>
  <si>
    <t>Spatter</t>
  </si>
  <si>
    <t>cont</t>
  </si>
  <si>
    <t>1Yivm0sbO3GXQENFOw_ekOe8fT8mnnG3cpKWGCRwhrDk</t>
  </si>
  <si>
    <t>Wk16</t>
  </si>
  <si>
    <t>Dec 14–18</t>
  </si>
  <si>
    <t>DNA Profiling</t>
  </si>
  <si>
    <t>https://drive.google.com/open?id=16HgqhZ0shFBIV5QsNazG_F0oK5F2ySe3loNt6YalSnw</t>
  </si>
  <si>
    <t>1jyV8PiZA0TkBJoOmEfDS_RsktuB5ITucYQD-h8y-zpU</t>
  </si>
  <si>
    <t>1pwkiI4lo1QDpco7vsByJE37EVgyzdDCVQwnp22L5onw</t>
  </si>
  <si>
    <t>Wk17</t>
  </si>
  <si>
    <t>Jan 04–08</t>
  </si>
  <si>
    <t>Match Probability</t>
  </si>
  <si>
    <t>12_-j1di9F9IZ47MitYnJhWjovXhLHA3SV8I1eZ7ZBPA</t>
  </si>
  <si>
    <t>Wk18</t>
  </si>
  <si>
    <t>https://drive.google.com/open?id=1cd7jaqjUJBcR1qqLro4spJDhJCYPyjjiNgPC9URXUaI</t>
  </si>
  <si>
    <t>Jan 11–15</t>
  </si>
  <si>
    <t>1LIF8BhLMwsdK5vb80RtDnaFf4gnHe1mk7InmkbfHqG8</t>
  </si>
  <si>
    <t>1ExJwzXvyaOsxwNT5uqIyeGeF9ajIIOiqpJ2TwB_vc6c</t>
  </si>
  <si>
    <t>Wk19</t>
  </si>
  <si>
    <t>Jan 18–22</t>
  </si>
  <si>
    <t>1ZOzTpWERifiyjgFqpRgJ9uWS_WDmm5j8NpW5NdN7NMo</t>
  </si>
  <si>
    <t>1qW-aaq5w27TL3GSirUb04JbdoOQt7LQjc_I5jwXZk38</t>
  </si>
  <si>
    <t>Wk20</t>
  </si>
  <si>
    <t>Jan 25–29</t>
  </si>
  <si>
    <t>1Nz6j1s01w9_3NJeRz4Q_ROz_ZRNZql4EJr-bZ4gUst4</t>
  </si>
  <si>
    <t>1UYaqHjib1CwernXdkLuI7QhucRoVaz8OAE8FwxzqMLE</t>
  </si>
  <si>
    <t>Wk21</t>
  </si>
  <si>
    <t>Feb 01–05</t>
  </si>
  <si>
    <t>Unit 2 — Review &amp; Assessment</t>
  </si>
  <si>
    <t>17sNV9sNB6A6wpAODW_DfXRIfzYKm6Q7NdB15qcSSBDQ</t>
  </si>
  <si>
    <t>Wk22</t>
  </si>
  <si>
    <t>Feb 08–12</t>
  </si>
  <si>
    <t>Cold Case Synthesis — Unit 2 Capstone</t>
  </si>
  <si>
    <t>1x1GzeBjdBMVFs5Z8BgBc_q6H0rMfZ6vvdOFvy6RDNic</t>
  </si>
  <si>
    <t>Wk23</t>
  </si>
  <si>
    <t>Feb 15–19</t>
  </si>
  <si>
    <t>Forensic Pathology + Expert in Court</t>
  </si>
  <si>
    <t>1-Sfe7tb7qJwlTj9x9PPZD6n-N20BYV8QqmNVfAdpjOI</t>
  </si>
  <si>
    <t>Wk24</t>
  </si>
  <si>
    <t>Feb 22–26</t>
  </si>
  <si>
    <t>Toxicology</t>
  </si>
  <si>
    <t>1fNDPqr4IlnT1jwgec19fOGTdWr3UxQdKGOlGC3G6TQo</t>
  </si>
  <si>
    <t>1wYs2FUi6ShI8ilzMJKYktu4GdCB9IXER6oevplM_P5Y</t>
  </si>
  <si>
    <t>Wk25</t>
  </si>
  <si>
    <t>Mar 01–05</t>
  </si>
  <si>
    <t>The Effect of Drugs</t>
  </si>
  <si>
    <t>153NaMxPfx90coIejP6h7Q9ByM99y2BGXiBSAQbHMI0o</t>
  </si>
  <si>
    <t>Wk26</t>
  </si>
  <si>
    <t>Mar 08–12</t>
  </si>
  <si>
    <t>Toxicology — Review &amp; Assessment</t>
  </si>
  <si>
    <t>1siAFhFUB1wFulmZMzQ6Y6hyPq8HRfp4sOs6mTzPQ5mE</t>
  </si>
  <si>
    <t>Wk27</t>
  </si>
  <si>
    <t>Mar 15–19</t>
  </si>
  <si>
    <t>Death Investigation</t>
  </si>
  <si>
    <t>1J3Th9UkzReTsCmG1TstRXFQ1-a_cVCUSapHCdlDqL6k</t>
  </si>
  <si>
    <t>1m5fRoL-bMKzf_zyyXP6v9qYp_1nA6BMrJ7yWsX5VDSM</t>
  </si>
  <si>
    <t>Wk28</t>
  </si>
  <si>
    <t>Mar 22–26</t>
  </si>
  <si>
    <t>Spring Break — no classes</t>
  </si>
  <si>
    <t>1ZpjPuLVC-Q-oS7HxkGxrfuHnFQulsk6TTu0JWqqUEqQ</t>
  </si>
  <si>
    <t>Wk29</t>
  </si>
  <si>
    <t>Mar 29–Apr 02</t>
  </si>
  <si>
    <t>Time of Death: Livor/Rigor/Algor</t>
  </si>
  <si>
    <t>19G5uZ6SvTwOoUxw9kxo7ZXDlOKGJhMb2e8U9xkQVCUw</t>
  </si>
  <si>
    <t>Wk30</t>
  </si>
  <si>
    <t>Apr 05–09</t>
  </si>
  <si>
    <t>The Autopsy</t>
  </si>
  <si>
    <t>1LlZRE_BR76zHtAkz8XXfMJl7AQARqXg5iPQChPVj1Dg</t>
  </si>
  <si>
    <t>1gZFqnyjueZkWbq3E7rboId_h9Sp8fFcR-t43dDuhYsU</t>
  </si>
  <si>
    <t>Wk31</t>
  </si>
  <si>
    <t>Apr 12–16</t>
  </si>
  <si>
    <t>Autopsy: Fetal Pig Dissection</t>
  </si>
  <si>
    <t>1WyzWz4BSJ_9FuwF52mG25hHdsN7Q4SCSnZld3JAY6ZA</t>
  </si>
  <si>
    <t>Wk32</t>
  </si>
  <si>
    <t>Apr 19–23</t>
  </si>
  <si>
    <t>Autopsy dissection cont. / unit buffer</t>
  </si>
  <si>
    <t>1CpMxXSo1BNzXUilEmvmuOD1A5AVwIaLTp4VLDWiikco</t>
  </si>
  <si>
    <t>Wk33</t>
  </si>
  <si>
    <t>Apr 26–30</t>
  </si>
  <si>
    <t>Forensic Entomology</t>
  </si>
  <si>
    <t>1AaP0erYVsKQKRyQyOlRR9JYdGp6ivSMh0aZ5HctgTLU</t>
  </si>
  <si>
    <t>19LqrneqEGQul6T2x3Wc1e_ZBjyT9oo8vFD1K9t3J5EQ</t>
  </si>
  <si>
    <t>Wk34</t>
  </si>
  <si>
    <t>May 03–07</t>
  </si>
  <si>
    <t>Forensic Anthropology</t>
  </si>
  <si>
    <t>1hBbgnXJyfb8I8QPjBk7LfzK_WVG5-wESElFUALP4aus</t>
  </si>
  <si>
    <t>1xzdnzmrql-qBTfzD2afOKFMIAnzi0LzZWxxMgv6olew</t>
  </si>
  <si>
    <t>Wk35</t>
  </si>
  <si>
    <t>May 10–14</t>
  </si>
  <si>
    <t>Pelvic + Long Bones</t>
  </si>
  <si>
    <t>1kSWGJKDltugArMXbU3PYhnvlTkd5biL4Kbwq_iZwt8A</t>
  </si>
  <si>
    <t>Wk36</t>
  </si>
  <si>
    <t>May 17–21</t>
  </si>
  <si>
    <t>Capstone: Conviction Integrity Review</t>
  </si>
  <si>
    <t>1mdp3WNgIdzpMviT23Eh-Y_ZWSWOOf5_9K-Rnaw6EHU0</t>
  </si>
  <si>
    <t>Wk37</t>
  </si>
  <si>
    <t>May 24–28</t>
  </si>
  <si>
    <t>11dVA8wC7kY1p7IX3uECpA6mYP2VlPy70BEROglv4GaE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</si>
</sst>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"/>
  </numFmts>
  <fonts count="55">
    <font>
      <sz val="11.0"/>
      <color theme="1"/>
      <name val="Calibri"/>
      <scheme val="minor"/>
    </font>
    <font>
      <b/>
      <sz val="12.0"/>
      <color rgb="FF1F4E5F"/>
      <name val="Arial"/>
    </font>
    <font>
      <b/>
      <sz val="14.0"/>
      <color rgb="FFFFFFFF"/>
      <name val="Arial"/>
    </font>
    <font>
      <sz val="11.0"/>
      <color theme="1"/>
      <name val="Calibri"/>
    </font>
    <font/>
    <font>
      <b/>
      <sz val="12.0"/>
      <color rgb="FFFFFFFF"/>
      <name val="Arial"/>
    </font>
    <font>
      <b/>
      <sz val="13.0"/>
      <color rgb="FF1F4E5F"/>
      <name val="Arial"/>
    </font>
    <font>
      <b/>
      <sz val="9.0"/>
      <color rgb="FF888888"/>
      <name val="Arial"/>
    </font>
    <font>
      <b/>
      <sz val="11.0"/>
      <color rgb="FFFFFFFF"/>
      <name val="Arial"/>
    </font>
    <font>
      <b/>
      <sz val="11.0"/>
      <color rgb="FF1A2E35"/>
      <name val="Arial"/>
    </font>
    <font>
      <sz val="11.0"/>
      <color rgb="FF028090"/>
      <name val="Arial"/>
    </font>
    <font>
      <sz val="11.0"/>
      <color theme="1"/>
      <name val="Arial"/>
    </font>
    <font>
      <b/>
      <sz val="10.0"/>
      <color rgb="FFFFFFFF"/>
      <name val="Arial"/>
    </font>
    <font>
      <b/>
      <sz val="9.0"/>
      <color rgb="FFFFFFFF"/>
      <name val="Arial"/>
    </font>
    <font>
      <b/>
      <sz val="10.0"/>
      <color theme="1"/>
      <name val="Arial"/>
    </font>
    <font>
      <sz val="9.0"/>
      <color theme="1"/>
      <name val="Arial"/>
    </font>
    <font>
      <b/>
      <sz val="10.0"/>
      <color rgb="FF028090"/>
      <name val="Arial"/>
    </font>
    <font>
      <b/>
      <sz val="10.0"/>
      <color rgb="FF111111"/>
      <name val="Arial"/>
    </font>
    <font>
      <b/>
      <sz val="10.0"/>
      <color rgb="FFC0392B"/>
      <name val="Arial"/>
    </font>
    <font>
      <sz val="8.0"/>
      <color rgb="FF888888"/>
      <name val="Arial"/>
    </font>
    <font>
      <i/>
      <sz val="9.0"/>
      <color rgb="FFC0392B"/>
      <name val="Arial"/>
    </font>
    <font>
      <u/>
      <sz val="9.0"/>
      <color rgb="FF111111"/>
      <name val="Arial"/>
    </font>
    <font>
      <u/>
      <sz val="9.0"/>
      <color rgb="FF028090"/>
      <name val="Arial"/>
    </font>
    <font>
      <sz val="10.0"/>
      <color theme="1"/>
      <name val="Calibri"/>
    </font>
    <font>
      <u/>
      <sz val="11.0"/>
      <color theme="1"/>
      <name val="Calibri"/>
    </font>
    <font>
      <u/>
      <sz val="11.0"/>
      <color rgb="FF0000FF"/>
      <name val="Cambria"/>
    </font>
    <font>
      <u/>
      <sz val="9.0"/>
      <color rgb="FF028090"/>
      <name val="Arial"/>
    </font>
    <font>
      <u/>
      <sz val="9.0"/>
      <color rgb="FF111111"/>
      <name val="Arial"/>
    </font>
    <font>
      <u/>
      <sz val="9.0"/>
      <color rgb="FF028090"/>
      <name val="Arial"/>
    </font>
    <font>
      <sz val="9.0"/>
      <color rgb="FF111111"/>
      <name val="Arial"/>
    </font>
    <font>
      <u/>
      <sz val="9.0"/>
      <color rgb="FF111111"/>
      <name val="Arial"/>
    </font>
    <font>
      <u/>
      <sz val="11.0"/>
      <color theme="1"/>
      <name val="Calibri"/>
    </font>
    <font>
      <b/>
      <sz val="11.0"/>
      <color theme="1"/>
      <name val="Calibri"/>
    </font>
    <font>
      <b/>
      <sz val="10.0"/>
      <color rgb="FF1D6A38"/>
      <name val="Arial"/>
    </font>
    <font>
      <u/>
      <sz val="10.0"/>
      <color rgb="FF0000FF"/>
      <name val="Cambria"/>
    </font>
    <font>
      <u/>
      <sz val="10.0"/>
      <color rgb="FF0000FF"/>
      <name val="Cambria"/>
    </font>
    <font>
      <b/>
      <sz val="10.0"/>
      <color rgb="FFD68910"/>
      <name val="Arial"/>
    </font>
    <font>
      <b/>
      <sz val="10.0"/>
      <color rgb="FF8B1A1A"/>
      <name val="Arial"/>
    </font>
    <font>
      <u/>
      <sz val="10.0"/>
      <color theme="1"/>
      <name val="Calibri"/>
    </font>
    <font>
      <u/>
      <sz val="10.0"/>
      <color theme="1"/>
      <name val="Calibri"/>
    </font>
    <font>
      <u/>
      <sz val="11.0"/>
      <color theme="1"/>
      <name val="Calibri"/>
    </font>
    <font>
      <sz val="10.0"/>
      <color theme="1"/>
      <name val="Arial"/>
    </font>
    <font>
      <b/>
      <sz val="13.0"/>
      <color theme="1"/>
      <name val="Arial"/>
    </font>
    <font>
      <i/>
      <sz val="9.0"/>
      <color rgb="FF808080"/>
      <name val="Arial"/>
    </font>
    <font>
      <color theme="1"/>
      <name val="Calibri"/>
      <scheme val="minor"/>
    </font>
    <font>
      <b/>
      <sz val="10.0"/>
      <color rgb="FF1F6E3B"/>
      <name val="Arial"/>
    </font>
    <font>
      <b/>
      <sz val="11.0"/>
      <color theme="1"/>
      <name val="Arial"/>
    </font>
    <font>
      <b/>
      <sz val="11.0"/>
      <color rgb="FF1F4E5F"/>
      <name val="Arial"/>
    </font>
    <font>
      <u/>
      <sz val="11.0"/>
      <color rgb="FF0563C1"/>
      <name val="Arial"/>
    </font>
    <font>
      <u/>
      <sz val="11.0"/>
      <color rgb="FF0000FF"/>
      <name val="Calibri"/>
    </font>
    <font>
      <u/>
      <sz val="11.0"/>
      <color theme="1"/>
      <name val="Calibri"/>
    </font>
    <font>
      <u/>
      <sz val="11.0"/>
      <color rgb="FF0000FF"/>
      <name val="Calibri"/>
    </font>
    <font>
      <u/>
      <sz val="11.0"/>
      <color theme="1"/>
      <name val="Calibri"/>
    </font>
    <font>
      <sz val="11.0"/>
      <color rgb="FF0563C1"/>
      <name val="Arial"/>
    </font>
    <font>
      <u/>
      <sz val="11.0"/>
      <color theme="1"/>
      <name val="Calibri"/>
    </font>
  </fonts>
  <fills count="32">
    <fill>
      <patternFill patternType="none"/>
    </fill>
    <fill>
      <patternFill patternType="lightGray"/>
    </fill>
    <fill>
      <patternFill patternType="solid">
        <fgColor rgb="FF1A2E35"/>
        <bgColor rgb="FF1A2E35"/>
      </patternFill>
    </fill>
    <fill>
      <patternFill patternType="solid">
        <fgColor rgb="FFF5F5F5"/>
        <bgColor rgb="FFF5F5F5"/>
      </patternFill>
    </fill>
    <fill>
      <patternFill patternType="solid">
        <fgColor rgb="FF1F4E5F"/>
        <bgColor rgb="FF1F4E5F"/>
      </patternFill>
    </fill>
    <fill>
      <patternFill patternType="solid">
        <fgColor rgb="FF1D6A38"/>
        <bgColor rgb="FF1D6A38"/>
      </patternFill>
    </fill>
    <fill>
      <patternFill patternType="solid">
        <fgColor rgb="FF1A4A7A"/>
        <bgColor rgb="FF1A4A7A"/>
      </patternFill>
    </fill>
    <fill>
      <patternFill patternType="solid">
        <fgColor rgb="FF5B2C6F"/>
        <bgColor rgb="FF5B2C6F"/>
      </patternFill>
    </fill>
    <fill>
      <patternFill patternType="solid">
        <fgColor rgb="FFE3E9F2"/>
        <bgColor rgb="FFE3E9F2"/>
      </patternFill>
    </fill>
    <fill>
      <patternFill patternType="solid">
        <fgColor rgb="FF028090"/>
        <bgColor rgb="FF028090"/>
      </patternFill>
    </fill>
    <fill>
      <patternFill patternType="solid">
        <fgColor rgb="FF444444"/>
        <bgColor rgb="FF444444"/>
      </patternFill>
    </fill>
    <fill>
      <patternFill patternType="solid">
        <fgColor rgb="FFF3E8F0"/>
        <bgColor rgb="FFF3E8F0"/>
      </patternFill>
    </fill>
    <fill>
      <patternFill patternType="solid">
        <fgColor rgb="FFD9E2EC"/>
        <bgColor rgb="FFD9E2EC"/>
      </patternFill>
    </fill>
    <fill>
      <patternFill patternType="solid">
        <fgColor rgb="FFEAF4F8"/>
        <bgColor rgb="FFEAF4F8"/>
      </patternFill>
    </fill>
    <fill>
      <patternFill patternType="solid">
        <fgColor rgb="FFE8F0E3"/>
        <bgColor rgb="FFE8F0E3"/>
      </patternFill>
    </fill>
    <fill>
      <patternFill patternType="solid">
        <fgColor rgb="FFFFF2CC"/>
        <bgColor rgb="FFFFF2CC"/>
      </patternFill>
    </fill>
    <fill>
      <patternFill patternType="solid">
        <fgColor rgb="FFFDF2E0"/>
        <bgColor rgb="FFFDF2E0"/>
      </patternFill>
    </fill>
    <fill>
      <patternFill patternType="solid">
        <fgColor rgb="FFE8F5E9"/>
        <bgColor rgb="FFE8F5E9"/>
      </patternFill>
    </fill>
    <fill>
      <patternFill patternType="solid">
        <fgColor rgb="FFFDECEA"/>
        <bgColor rgb="FFFDECEA"/>
      </patternFill>
    </fill>
    <fill>
      <patternFill patternType="solid">
        <fgColor rgb="FFF2D7D5"/>
        <bgColor rgb="FFF2D7D5"/>
      </patternFill>
    </fill>
    <fill>
      <patternFill patternType="solid">
        <fgColor rgb="FFFAFAFA"/>
        <bgColor rgb="FFFAFAFA"/>
      </patternFill>
    </fill>
    <fill>
      <patternFill patternType="solid">
        <fgColor rgb="FFF9F9F9"/>
        <bgColor rgb="FFF9F9F9"/>
      </patternFill>
    </fill>
    <fill>
      <patternFill patternType="solid">
        <fgColor rgb="FFFCEBEA"/>
        <bgColor rgb="FFFCEBEA"/>
      </patternFill>
    </fill>
    <fill>
      <patternFill patternType="solid">
        <fgColor rgb="FFE3F0FB"/>
        <bgColor rgb="FFE3F0FB"/>
      </patternFill>
    </fill>
    <fill>
      <patternFill patternType="solid">
        <fgColor rgb="FFF3E8FB"/>
        <bgColor rgb="FFF3E8FB"/>
      </patternFill>
    </fill>
    <fill>
      <patternFill patternType="solid">
        <fgColor rgb="FFF6B16B"/>
        <bgColor rgb="FFF6B16B"/>
      </patternFill>
    </fill>
    <fill>
      <patternFill patternType="solid">
        <fgColor rgb="FFEAF4EA"/>
        <bgColor rgb="FFEAF4EA"/>
      </patternFill>
    </fill>
    <fill>
      <patternFill patternType="solid">
        <fgColor rgb="FFFEF9E7"/>
        <bgColor rgb="FFFEF9E7"/>
      </patternFill>
    </fill>
    <fill>
      <patternFill patternType="solid">
        <fgColor rgb="FFFDEDEC"/>
        <bgColor rgb="FFFDEDEC"/>
      </patternFill>
    </fill>
    <fill>
      <patternFill patternType="solid">
        <fgColor rgb="FFE2EFFA"/>
        <bgColor rgb="FFE2EFFA"/>
      </patternFill>
    </fill>
    <fill>
      <patternFill patternType="solid">
        <fgColor rgb="FFF3E8FA"/>
        <bgColor rgb="FFF3E8FA"/>
      </patternFill>
    </fill>
    <fill>
      <patternFill patternType="solid">
        <fgColor rgb="FF1F3B6E"/>
        <bgColor rgb="FF1F3B6E"/>
      </patternFill>
    </fill>
  </fills>
  <borders count="27">
    <border/>
    <border>
      <left/>
      <top/>
      <bottom/>
    </border>
    <border>
      <top/>
      <bottom/>
    </border>
    <border>
      <right/>
      <top/>
      <bottom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medium">
        <color rgb="FF1D6A38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/>
    </border>
    <border>
      <left style="medium">
        <color rgb="FF1A4A7A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medium">
        <color rgb="FF5B2C6F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CCCCCC"/>
      </right>
      <top style="thin">
        <color rgb="FFCCCCCC"/>
      </top>
      <bottom style="thin">
        <color rgb="FFCCCCCC"/>
      </bottom>
    </border>
    <border>
      <left style="medium">
        <color rgb="FF1D6A38"/>
      </left>
      <right/>
      <top style="thin">
        <color rgb="FFCCCCCC"/>
      </top>
      <bottom style="thin">
        <color rgb="FFCCCCCC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/>
      <bottom style="thin">
        <color rgb="FFCCCCCC"/>
      </bottom>
    </border>
    <border>
      <left/>
      <right/>
      <top/>
      <bottom/>
    </border>
    <border>
      <left style="thin">
        <color rgb="FFCCCCCC"/>
      </left>
      <top style="thin">
        <color rgb="FFCCCCCC"/>
      </top>
    </border>
    <border>
      <top style="thin">
        <color rgb="FFCCCCCC"/>
      </top>
    </border>
    <border>
      <right style="thin">
        <color rgb="FFCCCCCC"/>
      </right>
      <top style="thin">
        <color rgb="FFCCCCCC"/>
      </top>
    </border>
    <border>
      <left style="thin">
        <color rgb="FFCCCCCC"/>
      </left>
    </border>
    <border>
      <right style="thin">
        <color rgb="FFCCCCCC"/>
      </right>
    </border>
    <border>
      <left style="thin">
        <color rgb="FFCCCCCC"/>
      </left>
      <bottom style="thin">
        <color rgb="FFCCCCCC"/>
      </bottom>
    </border>
    <border>
      <bottom style="thin">
        <color rgb="FFCCCCCC"/>
      </bottom>
    </border>
    <border>
      <right style="thin">
        <color rgb="FFCCCCCC"/>
      </right>
      <bottom style="thin">
        <color rgb="FFCCCCCC"/>
      </bottom>
    </border>
  </borders>
  <cellStyleXfs count="1">
    <xf borderId="0" fillId="0" fontId="0" numFmtId="0" applyAlignment="1" applyFont="1"/>
  </cellStyleXfs>
  <cellXfs count="1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2" fontId="2" numFmtId="0" xfId="0" applyAlignment="1" applyBorder="1" applyFill="1" applyFont="1">
      <alignment horizontal="left" shrinkToFit="0" vertical="center" wrapText="0"/>
    </xf>
    <xf borderId="0" fillId="0" fontId="3" numFmtId="0" xfId="0" applyAlignment="1" applyFont="1">
      <alignment shrinkToFit="0" vertical="bottom" wrapText="0"/>
    </xf>
    <xf borderId="2" fillId="0" fontId="4" numFmtId="0" xfId="0" applyBorder="1" applyFont="1"/>
    <xf borderId="1" fillId="2" fontId="5" numFmtId="0" xfId="0" applyAlignment="1" applyBorder="1" applyFont="1">
      <alignment horizontal="left" shrinkToFit="0" vertical="center" wrapText="0"/>
    </xf>
    <xf borderId="3" fillId="0" fontId="4" numFmtId="0" xfId="0" applyBorder="1" applyFont="1"/>
    <xf borderId="0" fillId="0" fontId="6" numFmtId="0" xfId="0" applyAlignment="1" applyFont="1">
      <alignment shrinkToFit="0" vertical="bottom" wrapText="0"/>
    </xf>
    <xf borderId="1" fillId="3" fontId="7" numFmtId="0" xfId="0" applyAlignment="1" applyBorder="1" applyFill="1" applyFont="1">
      <alignment horizontal="center" shrinkToFit="0" vertical="center" wrapText="0"/>
    </xf>
    <xf borderId="4" fillId="4" fontId="8" numFmtId="0" xfId="0" applyAlignment="1" applyBorder="1" applyFill="1" applyFont="1">
      <alignment horizontal="center" shrinkToFit="0" vertical="bottom" wrapText="1"/>
    </xf>
    <xf borderId="0" fillId="0" fontId="9" numFmtId="0" xfId="0" applyAlignment="1" applyFont="1">
      <alignment shrinkToFit="0" vertical="bottom" wrapText="0"/>
    </xf>
    <xf borderId="1" fillId="5" fontId="8" numFmtId="0" xfId="0" applyAlignment="1" applyBorder="1" applyFill="1" applyFont="1">
      <alignment horizontal="center" shrinkToFit="0" vertical="center" wrapText="1"/>
    </xf>
    <xf borderId="0" fillId="0" fontId="10" numFmtId="0" xfId="0" applyAlignment="1" applyFont="1">
      <alignment shrinkToFit="0" vertical="bottom" wrapText="0"/>
    </xf>
    <xf borderId="1" fillId="6" fontId="8" numFmtId="0" xfId="0" applyAlignment="1" applyBorder="1" applyFill="1" applyFont="1">
      <alignment horizontal="center" shrinkToFit="0" vertical="center" wrapText="1"/>
    </xf>
    <xf borderId="1" fillId="7" fontId="8" numFmtId="0" xfId="0" applyAlignment="1" applyBorder="1" applyFill="1" applyFont="1">
      <alignment horizontal="center" shrinkToFit="0" vertical="center" wrapText="1"/>
    </xf>
    <xf borderId="4" fillId="0" fontId="11" numFmtId="0" xfId="0" applyAlignment="1" applyBorder="1" applyFont="1">
      <alignment shrinkToFit="0" vertical="top" wrapText="1"/>
    </xf>
    <xf borderId="4" fillId="4" fontId="12" numFmtId="0" xfId="0" applyAlignment="1" applyBorder="1" applyFont="1">
      <alignment horizontal="center" shrinkToFit="0" vertical="center" wrapText="1"/>
    </xf>
    <xf borderId="5" fillId="2" fontId="13" numFmtId="0" xfId="0" applyAlignment="1" applyBorder="1" applyFont="1">
      <alignment horizontal="center" shrinkToFit="0" vertical="center" wrapText="1"/>
    </xf>
    <xf borderId="4" fillId="8" fontId="11" numFmtId="0" xfId="0" applyAlignment="1" applyBorder="1" applyFill="1" applyFont="1">
      <alignment shrinkToFit="0" vertical="top" wrapText="1"/>
    </xf>
    <xf borderId="5" fillId="9" fontId="13" numFmtId="0" xfId="0" applyAlignment="1" applyBorder="1" applyFill="1" applyFont="1">
      <alignment horizontal="center" shrinkToFit="0" vertical="center" wrapText="1"/>
    </xf>
    <xf borderId="5" fillId="10" fontId="13" numFmtId="0" xfId="0" applyAlignment="1" applyBorder="1" applyFill="1" applyFont="1">
      <alignment horizontal="center" shrinkToFit="0" vertical="center" wrapText="1"/>
    </xf>
    <xf borderId="1" fillId="9" fontId="8" numFmtId="0" xfId="0" applyAlignment="1" applyBorder="1" applyFont="1">
      <alignment horizontal="left" shrinkToFit="0" vertical="center" wrapText="0"/>
    </xf>
    <xf borderId="4" fillId="11" fontId="11" numFmtId="0" xfId="0" applyAlignment="1" applyBorder="1" applyFill="1" applyFont="1">
      <alignment shrinkToFit="0" vertical="top" wrapText="1"/>
    </xf>
    <xf borderId="4" fillId="12" fontId="14" numFmtId="0" xfId="0" applyAlignment="1" applyBorder="1" applyFill="1" applyFont="1">
      <alignment horizontal="center" shrinkToFit="0" vertical="center" wrapText="1"/>
    </xf>
    <xf borderId="5" fillId="2" fontId="13" numFmtId="0" xfId="0" applyAlignment="1" applyBorder="1" applyFont="1">
      <alignment horizontal="center" shrinkToFit="0" vertical="center" wrapText="0"/>
    </xf>
    <xf borderId="4" fillId="0" fontId="15" numFmtId="0" xfId="0" applyAlignment="1" applyBorder="1" applyFont="1">
      <alignment shrinkToFit="0" vertical="top" wrapText="1"/>
    </xf>
    <xf borderId="4" fillId="8" fontId="15" numFmtId="0" xfId="0" applyAlignment="1" applyBorder="1" applyFont="1">
      <alignment shrinkToFit="0" vertical="top" wrapText="1"/>
    </xf>
    <xf borderId="6" fillId="13" fontId="16" numFmtId="0" xfId="0" applyAlignment="1" applyBorder="1" applyFill="1" applyFont="1">
      <alignment horizontal="left" shrinkToFit="0" vertical="center" wrapText="0"/>
    </xf>
    <xf borderId="4" fillId="14" fontId="15" numFmtId="0" xfId="0" applyAlignment="1" applyBorder="1" applyFill="1" applyFont="1">
      <alignment shrinkToFit="0" vertical="top" wrapText="1"/>
    </xf>
    <xf borderId="7" fillId="0" fontId="4" numFmtId="0" xfId="0" applyBorder="1" applyFont="1"/>
    <xf borderId="4" fillId="15" fontId="11" numFmtId="0" xfId="0" applyAlignment="1" applyBorder="1" applyFill="1" applyFont="1">
      <alignment shrinkToFit="0" vertical="top" wrapText="1"/>
    </xf>
    <xf borderId="4" fillId="16" fontId="15" numFmtId="0" xfId="0" applyAlignment="1" applyBorder="1" applyFill="1" applyFont="1">
      <alignment shrinkToFit="0" vertical="top" wrapText="1"/>
    </xf>
    <xf borderId="5" fillId="17" fontId="17" numFmtId="0" xfId="0" applyAlignment="1" applyBorder="1" applyFill="1" applyFont="1">
      <alignment horizontal="left" shrinkToFit="0" vertical="center" wrapText="0"/>
    </xf>
    <xf borderId="8" fillId="0" fontId="4" numFmtId="0" xfId="0" applyBorder="1" applyFont="1"/>
    <xf borderId="5" fillId="18" fontId="18" numFmtId="0" xfId="0" applyAlignment="1" applyBorder="1" applyFill="1" applyFont="1">
      <alignment horizontal="center" shrinkToFit="0" vertical="center" wrapText="0"/>
    </xf>
    <xf borderId="5" fillId="18" fontId="19" numFmtId="0" xfId="0" applyAlignment="1" applyBorder="1" applyFont="1">
      <alignment horizontal="center" shrinkToFit="0" vertical="center" wrapText="0"/>
    </xf>
    <xf borderId="5" fillId="18" fontId="20" numFmtId="0" xfId="0" applyAlignment="1" applyBorder="1" applyFont="1">
      <alignment horizontal="left" shrinkToFit="0" vertical="top" wrapText="1"/>
    </xf>
    <xf borderId="5" fillId="3" fontId="3" numFmtId="0" xfId="0" applyAlignment="1" applyBorder="1" applyFont="1">
      <alignment shrinkToFit="0" vertical="bottom" wrapText="1"/>
    </xf>
    <xf borderId="4" fillId="19" fontId="15" numFmtId="0" xfId="0" applyAlignment="1" applyBorder="1" applyFill="1" applyFont="1">
      <alignment shrinkToFit="0" vertical="top" wrapText="1"/>
    </xf>
    <xf borderId="9" fillId="18" fontId="21" numFmtId="0" xfId="0" applyAlignment="1" applyBorder="1" applyFont="1">
      <alignment horizontal="center" shrinkToFit="0" vertical="center" wrapText="1"/>
    </xf>
    <xf borderId="5" fillId="20" fontId="3" numFmtId="0" xfId="0" applyAlignment="1" applyBorder="1" applyFill="1" applyFont="1">
      <alignment horizontal="center" shrinkToFit="0" vertical="center" wrapText="1"/>
    </xf>
    <xf borderId="5" fillId="17" fontId="22" numFmtId="0" xfId="0" applyAlignment="1" applyBorder="1" applyFont="1">
      <alignment horizontal="left" shrinkToFit="0" vertical="top" wrapText="1"/>
    </xf>
    <xf borderId="10" fillId="18" fontId="3" numFmtId="0" xfId="0" applyAlignment="1" applyBorder="1" applyFont="1">
      <alignment horizontal="center" shrinkToFit="0" vertical="center" wrapText="1"/>
    </xf>
    <xf borderId="11" fillId="18" fontId="3" numFmtId="0" xfId="0" applyAlignment="1" applyBorder="1" applyFont="1">
      <alignment horizontal="center" shrinkToFit="0" vertical="center" wrapText="1"/>
    </xf>
    <xf borderId="5" fillId="21" fontId="23" numFmtId="0" xfId="0" applyAlignment="1" applyBorder="1" applyFill="1" applyFont="1">
      <alignment horizontal="center" shrinkToFit="0" vertical="center" wrapText="1"/>
    </xf>
    <xf borderId="5" fillId="17" fontId="3" numFmtId="0" xfId="0" applyAlignment="1" applyBorder="1" applyFont="1">
      <alignment shrinkToFit="0" vertical="top" wrapText="1"/>
    </xf>
    <xf borderId="12" fillId="18" fontId="24" numFmtId="0" xfId="0" applyAlignment="1" applyBorder="1" applyFont="1">
      <alignment horizontal="center" shrinkToFit="0" vertical="center" wrapText="1"/>
    </xf>
    <xf borderId="5" fillId="22" fontId="23" numFmtId="0" xfId="0" applyAlignment="1" applyBorder="1" applyFill="1" applyFont="1">
      <alignment horizontal="center" shrinkToFit="0" vertical="center" wrapText="1"/>
    </xf>
    <xf borderId="0" fillId="0" fontId="25" numFmtId="0" xfId="0" applyAlignment="1" applyFont="1">
      <alignment shrinkToFit="0" vertical="bottom" wrapText="0"/>
    </xf>
    <xf borderId="5" fillId="23" fontId="17" numFmtId="0" xfId="0" applyAlignment="1" applyBorder="1" applyFill="1" applyFont="1">
      <alignment horizontal="left" shrinkToFit="0" vertical="center" wrapText="0"/>
    </xf>
    <xf borderId="10" fillId="22" fontId="23" numFmtId="0" xfId="0" applyAlignment="1" applyBorder="1" applyFont="1">
      <alignment horizontal="center" shrinkToFit="0" vertical="center" wrapText="1"/>
    </xf>
    <xf borderId="10" fillId="20" fontId="3" numFmtId="0" xfId="0" applyAlignment="1" applyBorder="1" applyFont="1">
      <alignment horizontal="center" shrinkToFit="0" vertical="center" wrapText="1"/>
    </xf>
    <xf borderId="13" fillId="20" fontId="3" numFmtId="0" xfId="0" applyAlignment="1" applyBorder="1" applyFont="1">
      <alignment horizontal="center" shrinkToFit="0" vertical="center" wrapText="1"/>
    </xf>
    <xf borderId="14" fillId="18" fontId="3" numFmtId="0" xfId="0" applyAlignment="1" applyBorder="1" applyFont="1">
      <alignment horizontal="center" shrinkToFit="0" vertical="center" wrapText="1"/>
    </xf>
    <xf borderId="5" fillId="23" fontId="26" numFmtId="0" xfId="0" applyAlignment="1" applyBorder="1" applyFont="1">
      <alignment horizontal="left" shrinkToFit="0" vertical="top" wrapText="1"/>
    </xf>
    <xf borderId="5" fillId="23" fontId="3" numFmtId="0" xfId="0" applyAlignment="1" applyBorder="1" applyFont="1">
      <alignment shrinkToFit="0" vertical="top" wrapText="1"/>
    </xf>
    <xf borderId="15" fillId="18" fontId="27" numFmtId="0" xfId="0" applyAlignment="1" applyBorder="1" applyFont="1">
      <alignment horizontal="center" readingOrder="0" shrinkToFit="0" vertical="center" wrapText="1"/>
    </xf>
    <xf borderId="16" fillId="0" fontId="3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5" fillId="24" fontId="17" numFmtId="0" xfId="0" applyAlignment="1" applyBorder="1" applyFill="1" applyFont="1">
      <alignment horizontal="left" shrinkToFit="0" vertical="center" wrapText="0"/>
    </xf>
    <xf borderId="17" fillId="22" fontId="23" numFmtId="0" xfId="0" applyAlignment="1" applyBorder="1" applyFont="1">
      <alignment horizontal="center" shrinkToFit="0" vertical="center" wrapText="1"/>
    </xf>
    <xf borderId="17" fillId="20" fontId="3" numFmtId="0" xfId="0" applyAlignment="1" applyBorder="1" applyFont="1">
      <alignment horizontal="center" shrinkToFit="0" vertical="center" wrapText="1"/>
    </xf>
    <xf borderId="5" fillId="24" fontId="28" numFmtId="0" xfId="0" applyAlignment="1" applyBorder="1" applyFont="1">
      <alignment horizontal="left" shrinkToFit="0" vertical="top" wrapText="1"/>
    </xf>
    <xf borderId="5" fillId="13" fontId="16" numFmtId="0" xfId="0" applyAlignment="1" applyBorder="1" applyFont="1">
      <alignment horizontal="center" shrinkToFit="0" vertical="center" wrapText="0"/>
    </xf>
    <xf borderId="5" fillId="13" fontId="19" numFmtId="0" xfId="0" applyAlignment="1" applyBorder="1" applyFont="1">
      <alignment horizontal="center" shrinkToFit="0" vertical="center" wrapText="0"/>
    </xf>
    <xf borderId="5" fillId="13" fontId="29" numFmtId="0" xfId="0" applyAlignment="1" applyBorder="1" applyFont="1">
      <alignment horizontal="left" shrinkToFit="0" vertical="top" wrapText="1"/>
    </xf>
    <xf borderId="5" fillId="24" fontId="3" numFmtId="0" xfId="0" applyAlignment="1" applyBorder="1" applyFont="1">
      <alignment shrinkToFit="0" vertical="top" wrapText="1"/>
    </xf>
    <xf borderId="9" fillId="17" fontId="30" numFmtId="0" xfId="0" applyAlignment="1" applyBorder="1" applyFont="1">
      <alignment horizontal="center" shrinkToFit="0" vertical="center" wrapText="1"/>
    </xf>
    <xf borderId="11" fillId="23" fontId="3" numFmtId="0" xfId="0" applyAlignment="1" applyBorder="1" applyFont="1">
      <alignment horizontal="center" shrinkToFit="0" vertical="center" wrapText="1"/>
    </xf>
    <xf borderId="12" fillId="24" fontId="31" numFmtId="0" xfId="0" applyAlignment="1" applyBorder="1" applyFont="1">
      <alignment horizontal="center" shrinkToFit="0" vertical="center" wrapText="1"/>
    </xf>
    <xf borderId="18" fillId="15" fontId="32" numFmtId="0" xfId="0" applyAlignment="1" applyBorder="1" applyFont="1">
      <alignment shrinkToFit="0" vertical="bottom" wrapText="1"/>
    </xf>
    <xf borderId="18" fillId="15" fontId="3" numFmtId="0" xfId="0" applyAlignment="1" applyBorder="1" applyFont="1">
      <alignment shrinkToFit="0" vertical="bottom" wrapText="0"/>
    </xf>
    <xf borderId="18" fillId="15" fontId="3" numFmtId="0" xfId="0" applyAlignment="1" applyBorder="1" applyFont="1">
      <alignment shrinkToFit="0" vertical="top" wrapText="1"/>
    </xf>
    <xf borderId="5" fillId="25" fontId="23" numFmtId="0" xfId="0" applyAlignment="1" applyBorder="1" applyFill="1" applyFont="1">
      <alignment horizontal="center" shrinkToFit="0" vertical="center" wrapText="1"/>
    </xf>
    <xf borderId="19" fillId="3" fontId="3" numFmtId="0" xfId="0" applyAlignment="1" applyBorder="1" applyFont="1">
      <alignment shrinkToFit="0" vertical="bottom" wrapText="0"/>
    </xf>
    <xf borderId="20" fillId="0" fontId="4" numFmtId="0" xfId="0" applyBorder="1" applyFont="1"/>
    <xf borderId="21" fillId="0" fontId="4" numFmtId="0" xfId="0" applyBorder="1" applyFont="1"/>
    <xf borderId="22" fillId="0" fontId="4" numFmtId="0" xfId="0" applyBorder="1" applyFont="1"/>
    <xf borderId="23" fillId="0" fontId="4" numFmtId="0" xfId="0" applyBorder="1" applyFont="1"/>
    <xf borderId="24" fillId="0" fontId="4" numFmtId="0" xfId="0" applyBorder="1" applyFont="1"/>
    <xf borderId="25" fillId="0" fontId="4" numFmtId="0" xfId="0" applyBorder="1" applyFont="1"/>
    <xf borderId="26" fillId="0" fontId="4" numFmtId="0" xfId="0" applyBorder="1" applyFont="1"/>
    <xf borderId="6" fillId="26" fontId="33" numFmtId="0" xfId="0" applyAlignment="1" applyBorder="1" applyFill="1" applyFont="1">
      <alignment horizontal="left" shrinkToFit="0" vertical="center" wrapText="0"/>
    </xf>
    <xf borderId="5" fillId="26" fontId="16" numFmtId="0" xfId="0" applyAlignment="1" applyBorder="1" applyFont="1">
      <alignment horizontal="center" shrinkToFit="0" vertical="center" wrapText="0"/>
    </xf>
    <xf borderId="5" fillId="26" fontId="19" numFmtId="0" xfId="0" applyAlignment="1" applyBorder="1" applyFont="1">
      <alignment horizontal="center" shrinkToFit="0" vertical="center" wrapText="0"/>
    </xf>
    <xf borderId="5" fillId="26" fontId="29" numFmtId="0" xfId="0" applyAlignment="1" applyBorder="1" applyFont="1">
      <alignment horizontal="left" shrinkToFit="0" vertical="top" wrapText="1"/>
    </xf>
    <xf borderId="5" fillId="22" fontId="23" numFmtId="0" xfId="0" applyAlignment="1" applyBorder="1" applyFont="1">
      <alignment horizontal="center" shrinkToFit="0" vertical="center" wrapText="0"/>
    </xf>
    <xf borderId="5" fillId="22" fontId="23" numFmtId="0" xfId="0" applyAlignment="1" applyBorder="1" applyFont="1">
      <alignment horizontal="left" shrinkToFit="0" vertical="top" wrapText="1"/>
    </xf>
    <xf borderId="9" fillId="22" fontId="34" numFmtId="0" xfId="0" applyAlignment="1" applyBorder="1" applyFont="1">
      <alignment horizontal="center" shrinkToFit="0" vertical="center" wrapText="1"/>
    </xf>
    <xf borderId="11" fillId="22" fontId="23" numFmtId="0" xfId="0" applyAlignment="1" applyBorder="1" applyFont="1">
      <alignment horizontal="center" shrinkToFit="0" vertical="center" wrapText="1"/>
    </xf>
    <xf borderId="12" fillId="22" fontId="35" numFmtId="0" xfId="0" applyAlignment="1" applyBorder="1" applyFont="1">
      <alignment horizontal="center" shrinkToFit="0" vertical="center" wrapText="1"/>
    </xf>
    <xf borderId="9" fillId="17" fontId="29" numFmtId="0" xfId="0" applyAlignment="1" applyBorder="1" applyFont="1">
      <alignment horizontal="center" shrinkToFit="0" vertical="center" wrapText="1"/>
    </xf>
    <xf borderId="12" fillId="24" fontId="3" numFmtId="0" xfId="0" applyAlignment="1" applyBorder="1" applyFont="1">
      <alignment horizontal="center" shrinkToFit="0" vertical="center" wrapText="1"/>
    </xf>
    <xf borderId="6" fillId="27" fontId="36" numFmtId="0" xfId="0" applyAlignment="1" applyBorder="1" applyFill="1" applyFont="1">
      <alignment horizontal="left" shrinkToFit="0" vertical="center" wrapText="0"/>
    </xf>
    <xf borderId="5" fillId="27" fontId="16" numFmtId="0" xfId="0" applyAlignment="1" applyBorder="1" applyFont="1">
      <alignment horizontal="center" shrinkToFit="0" vertical="center" wrapText="0"/>
    </xf>
    <xf borderId="5" fillId="27" fontId="19" numFmtId="0" xfId="0" applyAlignment="1" applyBorder="1" applyFont="1">
      <alignment horizontal="center" shrinkToFit="0" vertical="center" wrapText="0"/>
    </xf>
    <xf borderId="5" fillId="27" fontId="29" numFmtId="0" xfId="0" applyAlignment="1" applyBorder="1" applyFont="1">
      <alignment horizontal="left" shrinkToFit="0" vertical="top" wrapText="1"/>
    </xf>
    <xf borderId="6" fillId="28" fontId="37" numFmtId="0" xfId="0" applyAlignment="1" applyBorder="1" applyFill="1" applyFont="1">
      <alignment horizontal="left" shrinkToFit="0" vertical="center" wrapText="0"/>
    </xf>
    <xf borderId="9" fillId="22" fontId="38" numFmtId="0" xfId="0" applyAlignment="1" applyBorder="1" applyFont="1">
      <alignment horizontal="center" shrinkToFit="0" vertical="center" wrapText="1"/>
    </xf>
    <xf borderId="12" fillId="22" fontId="23" numFmtId="0" xfId="0" applyAlignment="1" applyBorder="1" applyFont="1">
      <alignment horizontal="center" shrinkToFit="0" vertical="center" wrapText="1"/>
    </xf>
    <xf borderId="5" fillId="28" fontId="16" numFmtId="0" xfId="0" applyAlignment="1" applyBorder="1" applyFont="1">
      <alignment horizontal="center" shrinkToFit="0" vertical="center" wrapText="0"/>
    </xf>
    <xf borderId="5" fillId="28" fontId="19" numFmtId="0" xfId="0" applyAlignment="1" applyBorder="1" applyFont="1">
      <alignment horizontal="center" shrinkToFit="0" vertical="center" wrapText="0"/>
    </xf>
    <xf borderId="5" fillId="28" fontId="29" numFmtId="0" xfId="0" applyAlignment="1" applyBorder="1" applyFont="1">
      <alignment horizontal="left" shrinkToFit="0" vertical="top" wrapText="1"/>
    </xf>
    <xf borderId="5" fillId="13" fontId="23" numFmtId="0" xfId="0" applyAlignment="1" applyBorder="1" applyFont="1">
      <alignment horizontal="center" shrinkToFit="0" vertical="center" wrapText="0"/>
    </xf>
    <xf borderId="5" fillId="13" fontId="23" numFmtId="0" xfId="0" applyAlignment="1" applyBorder="1" applyFont="1">
      <alignment horizontal="left" shrinkToFit="0" vertical="top" wrapText="1"/>
    </xf>
    <xf borderId="9" fillId="17" fontId="39" numFmtId="0" xfId="0" applyAlignment="1" applyBorder="1" applyFont="1">
      <alignment horizontal="center" shrinkToFit="0" vertical="center" wrapText="1"/>
    </xf>
    <xf borderId="11" fillId="29" fontId="23" numFmtId="0" xfId="0" applyAlignment="1" applyBorder="1" applyFill="1" applyFont="1">
      <alignment horizontal="center" shrinkToFit="0" vertical="center" wrapText="1"/>
    </xf>
    <xf borderId="12" fillId="30" fontId="23" numFmtId="0" xfId="0" applyAlignment="1" applyBorder="1" applyFill="1" applyFont="1">
      <alignment horizontal="center" shrinkToFit="0" vertical="center" wrapText="1"/>
    </xf>
    <xf borderId="0" fillId="0" fontId="3" numFmtId="0" xfId="0" applyAlignment="1" applyFont="1">
      <alignment shrinkToFit="0" vertical="bottom" wrapText="1"/>
    </xf>
    <xf borderId="0" fillId="0" fontId="40" numFmtId="0" xfId="0" applyAlignment="1" applyFont="1">
      <alignment horizontal="center" shrinkToFit="0" vertical="center" wrapText="1"/>
    </xf>
    <xf borderId="4" fillId="0" fontId="41" numFmtId="0" xfId="0" applyAlignment="1" applyBorder="1" applyFont="1">
      <alignment shrinkToFit="0" vertical="top" wrapText="1"/>
    </xf>
    <xf borderId="4" fillId="8" fontId="41" numFmtId="0" xfId="0" applyAlignment="1" applyBorder="1" applyFont="1">
      <alignment shrinkToFit="0" vertical="top" wrapText="1"/>
    </xf>
    <xf borderId="4" fillId="11" fontId="41" numFmtId="0" xfId="0" applyAlignment="1" applyBorder="1" applyFont="1">
      <alignment shrinkToFit="0" vertical="top" wrapText="1"/>
    </xf>
    <xf borderId="4" fillId="15" fontId="41" numFmtId="0" xfId="0" applyAlignment="1" applyBorder="1" applyFont="1">
      <alignment shrinkToFit="0" vertical="top" wrapText="1"/>
    </xf>
    <xf borderId="0" fillId="0" fontId="42" numFmtId="0" xfId="0" applyAlignment="1" applyFont="1">
      <alignment shrinkToFit="0" vertical="bottom" wrapText="0"/>
    </xf>
    <xf borderId="0" fillId="0" fontId="43" numFmtId="0" xfId="0" applyAlignment="1" applyFont="1">
      <alignment shrinkToFit="0" vertical="bottom" wrapText="0"/>
    </xf>
    <xf borderId="18" fillId="31" fontId="12" numFmtId="0" xfId="0" applyAlignment="1" applyBorder="1" applyFill="1" applyFont="1">
      <alignment shrinkToFit="0" vertical="bottom" wrapText="0"/>
    </xf>
    <xf borderId="0" fillId="0" fontId="14" numFmtId="0" xfId="0" applyAlignment="1" applyFont="1">
      <alignment shrinkToFit="0" vertical="bottom" wrapText="0"/>
    </xf>
    <xf borderId="0" fillId="0" fontId="44" numFmtId="0" xfId="0" applyFont="1"/>
    <xf borderId="0" fillId="0" fontId="45" numFmtId="0" xfId="0" applyAlignment="1" applyFont="1">
      <alignment shrinkToFit="0" vertical="bottom" wrapText="0"/>
    </xf>
    <xf borderId="4" fillId="0" fontId="46" numFmtId="0" xfId="0" applyAlignment="1" applyBorder="1" applyFont="1">
      <alignment horizontal="center" shrinkToFit="0" vertical="bottom" wrapText="1"/>
    </xf>
    <xf borderId="4" fillId="0" fontId="47" numFmtId="0" xfId="0" applyAlignment="1" applyBorder="1" applyFont="1">
      <alignment shrinkToFit="0" vertical="top" wrapText="1"/>
    </xf>
    <xf borderId="4" fillId="0" fontId="48" numFmtId="0" xfId="0" applyAlignment="1" applyBorder="1" applyFont="1">
      <alignment shrinkToFit="0" vertical="top" wrapText="1"/>
    </xf>
    <xf borderId="0" fillId="0" fontId="49" numFmtId="0" xfId="0" applyAlignment="1" applyFont="1">
      <alignment shrinkToFit="0" vertical="bottom" wrapText="0"/>
    </xf>
    <xf borderId="0" fillId="0" fontId="50" numFmtId="164" xfId="0" applyAlignment="1" applyFont="1" applyNumberFormat="1">
      <alignment shrinkToFit="0" vertical="bottom" wrapText="0"/>
    </xf>
    <xf borderId="0" fillId="0" fontId="51" numFmtId="0" xfId="0" applyAlignment="1" applyFont="1">
      <alignment readingOrder="0" shrinkToFit="0" vertical="bottom" wrapText="0"/>
    </xf>
    <xf borderId="0" fillId="0" fontId="3" numFmtId="164" xfId="0" applyAlignment="1" applyFont="1" applyNumberFormat="1">
      <alignment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52" numFmtId="0" xfId="0" applyAlignment="1" applyFont="1">
      <alignment shrinkToFit="0" vertical="bottom" wrapText="0"/>
    </xf>
    <xf borderId="4" fillId="0" fontId="53" numFmtId="0" xfId="0" applyAlignment="1" applyBorder="1" applyFont="1">
      <alignment readingOrder="0" shrinkToFit="0" vertical="top" wrapText="1"/>
    </xf>
    <xf borderId="0" fillId="0" fontId="54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4" Type="http://schemas.openxmlformats.org/officeDocument/2006/relationships/worksheet" Target="worksheets/sheet1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docs.google.com/document/d/1rZrjaSUczGUGEhH_flwcjh2zQOmuNlq5feYouV5M2UM/edit" TargetMode="External"/><Relationship Id="rId22" Type="http://schemas.openxmlformats.org/officeDocument/2006/relationships/hyperlink" Target="https://docs.google.com/document/d/1SW32VGC6XQOkCrNy9-0LQ2p1hGrKvv3bGC81yb95mh8/edit" TargetMode="External"/><Relationship Id="rId21" Type="http://schemas.openxmlformats.org/officeDocument/2006/relationships/hyperlink" Target="https://docs.google.com/document/d/1Wavn26MC0CansmQRiVwB7tp9EXMdPl2Obxjfo5ejbCI/edit" TargetMode="External"/><Relationship Id="rId24" Type="http://schemas.openxmlformats.org/officeDocument/2006/relationships/hyperlink" Target="https://docs.google.com/document/d/16k2w3kTrQtksFZZMYtKTkM0JzJFDnq2LstfxLJ-lJVU/edit" TargetMode="External"/><Relationship Id="rId23" Type="http://schemas.openxmlformats.org/officeDocument/2006/relationships/hyperlink" Target="https://docs.google.com/document/d/1uLJCspefAJN3lxyjPRL51Cb6jQDycyx8G7v5E_vf8vg/edit" TargetMode="External"/><Relationship Id="rId1" Type="http://schemas.openxmlformats.org/officeDocument/2006/relationships/hyperlink" Target="https://docs.google.com/document/d/11PgV0MTAGU19aDqj_Rz8trZ1igOIM4ft4PHiht_dP20/edit" TargetMode="External"/><Relationship Id="rId2" Type="http://schemas.openxmlformats.org/officeDocument/2006/relationships/hyperlink" Target="https://docs.google.com/document/d/1AMisX8kiV6YMnLzqaCD0XWiGU7kYXf66UYepynCsJZM/edit" TargetMode="External"/><Relationship Id="rId3" Type="http://schemas.openxmlformats.org/officeDocument/2006/relationships/hyperlink" Target="https://drive.google.com/drive/folders/15wOi4Ra9ignPw6n2aXfCz9cPM0B_0E2x" TargetMode="External"/><Relationship Id="rId4" Type="http://schemas.openxmlformats.org/officeDocument/2006/relationships/hyperlink" Target="https://docs.google.com/document/d/1xvlxrz6acsmoFOu5DSAMNpoJXgK48gawcvbxbHevASY/edit" TargetMode="External"/><Relationship Id="rId9" Type="http://schemas.openxmlformats.org/officeDocument/2006/relationships/hyperlink" Target="https://docs.google.com/document/d/1zLuzrhTSNpPK0uZY3FGUz_6fk2LDlZm5qxXR0P-W5fE/edit" TargetMode="External"/><Relationship Id="rId26" Type="http://schemas.openxmlformats.org/officeDocument/2006/relationships/hyperlink" Target="https://docs.google.com/document/d/1v8ogHmV6rDJUNDuq1tmb8ovyyO_hEpcPzvx5-X_woWM/edit" TargetMode="External"/><Relationship Id="rId25" Type="http://schemas.openxmlformats.org/officeDocument/2006/relationships/hyperlink" Target="https://docs.google.com/document/d/1U5BTMavRCidEnW0CSkZBQIep3JxddyOfSE0aieSTGc4/edit" TargetMode="External"/><Relationship Id="rId28" Type="http://schemas.openxmlformats.org/officeDocument/2006/relationships/hyperlink" Target="https://docs.google.com/document/d/1T1-zThea7W2GcbShafnzcR2t8Di4SBzaW3cwg6Wu2MI/edit" TargetMode="External"/><Relationship Id="rId27" Type="http://schemas.openxmlformats.org/officeDocument/2006/relationships/hyperlink" Target="https://docs.google.com/document/d/1bgBjjwqChnNRCFGvfcFNelVu8zuqmuTL0PBzvih4Y-g/edit" TargetMode="External"/><Relationship Id="rId5" Type="http://schemas.openxmlformats.org/officeDocument/2006/relationships/hyperlink" Target="https://docs.google.com/document/d/1V3gGB-n2h3QGqxrWGGTH76cfL47La2HfqICVK8QGEYM/edit" TargetMode="External"/><Relationship Id="rId6" Type="http://schemas.openxmlformats.org/officeDocument/2006/relationships/hyperlink" Target="https://docs.google.com/document/d/1a70_5Jzr6JGdl32VbCmL9DSnpC_KbrGwIDDTZNf3bqI/edit" TargetMode="External"/><Relationship Id="rId29" Type="http://schemas.openxmlformats.org/officeDocument/2006/relationships/hyperlink" Target="https://docs.google.com/document/d/1n3TivkmQ9QbZKekiN6sSpEJ98c_exaQXyC8duOp7Vmw/edit" TargetMode="External"/><Relationship Id="rId7" Type="http://schemas.openxmlformats.org/officeDocument/2006/relationships/hyperlink" Target="https://docs.google.com/document/d/1tuht2ail2IP85BIaaFy5FhCfZAGuLAviooC6OlmZZwg/edit" TargetMode="External"/><Relationship Id="rId8" Type="http://schemas.openxmlformats.org/officeDocument/2006/relationships/hyperlink" Target="https://docs.google.com/document/d/1Rcw7jznnU0kYYRiEFUHCbQ_QgTuGPtm3kJXfSSOK8-o/edit" TargetMode="External"/><Relationship Id="rId31" Type="http://schemas.openxmlformats.org/officeDocument/2006/relationships/hyperlink" Target="https://docs.google.com/document/d/1I6nR8WZ287m3beMP2s7QXcmmA19I2h4gi9VcSUuZ2nk/edit" TargetMode="External"/><Relationship Id="rId30" Type="http://schemas.openxmlformats.org/officeDocument/2006/relationships/hyperlink" Target="https://docs.google.com/document/d/1jzcJK9O_4nPb6TjO3mjB1FVQPHh5zR3G7HDyVERIyTI/edit" TargetMode="External"/><Relationship Id="rId11" Type="http://schemas.openxmlformats.org/officeDocument/2006/relationships/hyperlink" Target="https://docs.google.com/document/d/1T3fbBeZQpgskbgq_XyydiuPflDI2GKWclO4TWkJfsFg/edit" TargetMode="External"/><Relationship Id="rId10" Type="http://schemas.openxmlformats.org/officeDocument/2006/relationships/hyperlink" Target="https://docs.google.com/document/d/1kZTeunJtoJg4BWw8ZewP8VyNNLbzE3oXBPGB0x_ifw0/edit" TargetMode="External"/><Relationship Id="rId32" Type="http://schemas.openxmlformats.org/officeDocument/2006/relationships/drawing" Target="../drawings/drawing2.xml"/><Relationship Id="rId13" Type="http://schemas.openxmlformats.org/officeDocument/2006/relationships/hyperlink" Target="https://docs.google.com/document/d/1PPJRYj-EOlSvwoB4B-iR-nvuJtPkNpPqeEqAjq1eZH4/edit" TargetMode="External"/><Relationship Id="rId12" Type="http://schemas.openxmlformats.org/officeDocument/2006/relationships/hyperlink" Target="https://docs.google.com/document/d/14L74rs0r2aqNTPg3MTZakFWgy8iLwyNfeblfbMvBQC4/edit" TargetMode="External"/><Relationship Id="rId15" Type="http://schemas.openxmlformats.org/officeDocument/2006/relationships/hyperlink" Target="https://docs.google.com/document/d/1fMslBnQfTZqHGJPZeKfd11gAqNIBC75vXbBfjAGFfE0/edit" TargetMode="External"/><Relationship Id="rId14" Type="http://schemas.openxmlformats.org/officeDocument/2006/relationships/hyperlink" Target="https://docs.google.com/document/d/1FNH_RLKIqEoAhORnzw3bm4tbvDNRDu98kGyo1V6PrZ0/edit" TargetMode="External"/><Relationship Id="rId17" Type="http://schemas.openxmlformats.org/officeDocument/2006/relationships/hyperlink" Target="https://docs.google.com/document/d/1nW2-875KbW-ucjyrw_EyAp8ocIhCptybBDHdIFDsuWo/edit" TargetMode="External"/><Relationship Id="rId16" Type="http://schemas.openxmlformats.org/officeDocument/2006/relationships/hyperlink" Target="https://docs.google.com/document/d/193H2L74JvzB2QODtea5KGZUxXOIICtKHUJOvLpQxrdg/edit" TargetMode="External"/><Relationship Id="rId19" Type="http://schemas.openxmlformats.org/officeDocument/2006/relationships/hyperlink" Target="https://docs.google.com/document/d/19iROR7pcXcCQSaF9q1qBDwoCgfRKnRK_qwb8OmUg6dA/edit" TargetMode="External"/><Relationship Id="rId18" Type="http://schemas.openxmlformats.org/officeDocument/2006/relationships/hyperlink" Target="https://docs.google.com/document/d/1bt1hnQuo3Py3RIG6VPV6ePxpD1ILtTIRH2f_EslmphU/edit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open?id=1m3eF-KHjb1AKCZG8odI28ZSUZlaKNC9XC5VAuvc5IYQ" TargetMode="External"/><Relationship Id="rId42" Type="http://schemas.openxmlformats.org/officeDocument/2006/relationships/hyperlink" Target="https://drive.google.com/open?id=1fAWSMozNnZVJFGxTpSQKwBjU4gLfeWVzrazH-AiaRhU" TargetMode="External"/><Relationship Id="rId41" Type="http://schemas.openxmlformats.org/officeDocument/2006/relationships/hyperlink" Target="https://drive.google.com/open?id=1ZDer-NNBybpTys9yv4pyWcBJvUkjX5aHInwNBLlk4_Q" TargetMode="External"/><Relationship Id="rId44" Type="http://schemas.openxmlformats.org/officeDocument/2006/relationships/hyperlink" Target="https://drive.google.com/open?id=1B6J_CZsSg_kGxWPBv0ackRr_pRtuM8ZWZEAn01LgcGo" TargetMode="External"/><Relationship Id="rId43" Type="http://schemas.openxmlformats.org/officeDocument/2006/relationships/hyperlink" Target="https://drive.google.com/open?id=1O9n9i5BRelRFW1jG3Y0mreKJJuuqXRGXGRQ9uo39-8Y" TargetMode="External"/><Relationship Id="rId46" Type="http://schemas.openxmlformats.org/officeDocument/2006/relationships/hyperlink" Target="https://drive.google.com/open?id=1xgoqWHty6lwPtfI__uO5Pk4-HmB2lZD3lwbRj3hFx6M" TargetMode="External"/><Relationship Id="rId45" Type="http://schemas.openxmlformats.org/officeDocument/2006/relationships/hyperlink" Target="https://drive.google.com/open?id=13U2xS0vaVMnfyzztt2tRYZAJs7jtuOIlPRDT0qUkhMk" TargetMode="External"/><Relationship Id="rId106" Type="http://schemas.openxmlformats.org/officeDocument/2006/relationships/drawing" Target="../drawings/drawing7.xml"/><Relationship Id="rId105" Type="http://schemas.openxmlformats.org/officeDocument/2006/relationships/hyperlink" Target="https://drive.google.com/open?id=1cd7jaqjUJBcR1qqLro4spJDhJCYPyjjiNgPC9URXUaI" TargetMode="External"/><Relationship Id="rId104" Type="http://schemas.openxmlformats.org/officeDocument/2006/relationships/hyperlink" Target="https://drive.google.com/open?id=16HgqhZ0shFBIV5QsNazG_F0oK5F2ySe3loNt6YalSnw" TargetMode="External"/><Relationship Id="rId48" Type="http://schemas.openxmlformats.org/officeDocument/2006/relationships/hyperlink" Target="https://drive.google.com/open?id=1XZ7F-K9hq1xt65xCHe8WhTxPnnUw2HMrTrT7AJmt2Eo" TargetMode="External"/><Relationship Id="rId47" Type="http://schemas.openxmlformats.org/officeDocument/2006/relationships/hyperlink" Target="https://drive.google.com/open?id=1B6J_CZsSg_kGxWPBv0ackRr_pRtuM8ZWZEAn01LgcGo" TargetMode="External"/><Relationship Id="rId49" Type="http://schemas.openxmlformats.org/officeDocument/2006/relationships/hyperlink" Target="https://drive.google.com/drive/folders/13RiPJcPdOnzpdt2DuB2rSAp9MW0TJGPy" TargetMode="External"/><Relationship Id="rId103" Type="http://schemas.openxmlformats.org/officeDocument/2006/relationships/hyperlink" Target="https://drive.google.com/open?id=114LKWFsE9wDyDy9QpjXPqMyCyi4_TIrfHAtmZzAZqKE" TargetMode="External"/><Relationship Id="rId102" Type="http://schemas.openxmlformats.org/officeDocument/2006/relationships/hyperlink" Target="https://drive.google.com/open?id=1US0KqN9vPf7ogwEVxcFWhaaJVGx7BICg70RoDr8cqRI" TargetMode="External"/><Relationship Id="rId101" Type="http://schemas.openxmlformats.org/officeDocument/2006/relationships/hyperlink" Target="https://drive.google.com/open?id=114LKWFsE9wDyDy9QpjXPqMyCyi4_TIrfHAtmZzAZqKE" TargetMode="External"/><Relationship Id="rId100" Type="http://schemas.openxmlformats.org/officeDocument/2006/relationships/hyperlink" Target="https://drive.google.com/drive/folders/1ZDFeBWJX3BN9Gkub_-l9jfEXZbCiVf47" TargetMode="External"/><Relationship Id="rId31" Type="http://schemas.openxmlformats.org/officeDocument/2006/relationships/hyperlink" Target="https://drive.google.com/open?id=1uxddvf2AaMEq16dFs2N9rI9Wqkm61LIJgru3kKafbUI" TargetMode="External"/><Relationship Id="rId30" Type="http://schemas.openxmlformats.org/officeDocument/2006/relationships/hyperlink" Target="https://drive.google.com/open?id=1EKjFh0ZgeOjEwatzXTbmNXcIXvx6UzP53KkTttmj_Yw" TargetMode="External"/><Relationship Id="rId33" Type="http://schemas.openxmlformats.org/officeDocument/2006/relationships/hyperlink" Target="https://drive.google.com/open?id=1nl_G0kH65BVa0Jnni0NKn32Y6EjgKXQkYaJA9vpugQM" TargetMode="External"/><Relationship Id="rId32" Type="http://schemas.openxmlformats.org/officeDocument/2006/relationships/hyperlink" Target="https://drive.google.com/open?id=17AH3RIWSm3EzoYOvMpOn8MIOIcYIVcKq0rr5zWmm7uM" TargetMode="External"/><Relationship Id="rId35" Type="http://schemas.openxmlformats.org/officeDocument/2006/relationships/hyperlink" Target="https://drive.google.com/open?id=17AH3RIWSm3EzoYOvMpOn8MIOIcYIVcKq0rr5zWmm7uM" TargetMode="External"/><Relationship Id="rId34" Type="http://schemas.openxmlformats.org/officeDocument/2006/relationships/hyperlink" Target="https://drive.google.com/open?id=16U0eYUHgZFB2P1Tgn7Yqx75R-V5mfBE6_jBB0JHUW0c" TargetMode="External"/><Relationship Id="rId37" Type="http://schemas.openxmlformats.org/officeDocument/2006/relationships/hyperlink" Target="https://drive.google.com/open?id=12pTda31YZaRH3dZ89hKoSkhlybkWqtqMFqFtVTvaSCw" TargetMode="External"/><Relationship Id="rId36" Type="http://schemas.openxmlformats.org/officeDocument/2006/relationships/hyperlink" Target="https://drive.google.com/open?id=1JhfjicmaKUwJpG6_yzfPZkQ63XvgJ92Nhkm0eZV9dpU" TargetMode="External"/><Relationship Id="rId39" Type="http://schemas.openxmlformats.org/officeDocument/2006/relationships/hyperlink" Target="https://drive.google.com/open?id=1t2u0qW5gt80928aNaHM-wRVRMUVHGEvOz8Zd0-1XXyg" TargetMode="External"/><Relationship Id="rId38" Type="http://schemas.openxmlformats.org/officeDocument/2006/relationships/hyperlink" Target="https://drive.google.com/open?id=1ZDer-NNBybpTys9yv4pyWcBJvUkjX5aHInwNBLlk4_Q" TargetMode="External"/><Relationship Id="rId20" Type="http://schemas.openxmlformats.org/officeDocument/2006/relationships/hyperlink" Target="https://drive.google.com/open?id=1a5x0ws-fkIj4tXwPXk69vqSaQXz0lspZZ7ij3huMJfE" TargetMode="External"/><Relationship Id="rId22" Type="http://schemas.openxmlformats.org/officeDocument/2006/relationships/hyperlink" Target="https://drive.google.com/open?id=1Mf--h8GxsaO2-lFDkG1n_mw0HlessaL70N4c-ATr6RM" TargetMode="External"/><Relationship Id="rId21" Type="http://schemas.openxmlformats.org/officeDocument/2006/relationships/hyperlink" Target="https://drive.google.com/open?id=1ZYpT5wS9zPXkcVCwfp6oC6M8WE1yCzVtjEqpw7OlnF8" TargetMode="External"/><Relationship Id="rId24" Type="http://schemas.openxmlformats.org/officeDocument/2006/relationships/hyperlink" Target="https://drive.google.com/open?id=1ZYpT5wS9zPXkcVCwfp6oC6M8WE1yCzVtjEqpw7OlnF8" TargetMode="External"/><Relationship Id="rId23" Type="http://schemas.openxmlformats.org/officeDocument/2006/relationships/hyperlink" Target="https://drive.google.com/open?id=1a5x0ws-fkIj4tXwPXk69vqSaQXz0lspZZ7ij3huMJfE" TargetMode="External"/><Relationship Id="rId26" Type="http://schemas.openxmlformats.org/officeDocument/2006/relationships/hyperlink" Target="https://drive.google.com/open?id=1sjLRPi3CFP4sSJbhCTB89jp_DEwCWN4chE_s38WOsa0" TargetMode="External"/><Relationship Id="rId25" Type="http://schemas.openxmlformats.org/officeDocument/2006/relationships/hyperlink" Target="https://drive.google.com/open?id=1gvQozaTKpCOR0FWB4y0aL5gpR6YeQxgNH0O38TR9LNk" TargetMode="External"/><Relationship Id="rId28" Type="http://schemas.openxmlformats.org/officeDocument/2006/relationships/hyperlink" Target="https://drive.google.com/open?id=1bFhluYQ5YiacgEVgwPADmRSL9kZe_angmzZ65NXP8L8" TargetMode="External"/><Relationship Id="rId27" Type="http://schemas.openxmlformats.org/officeDocument/2006/relationships/hyperlink" Target="https://drive.google.com/open?id=10H4lgRBHqvSIOA_xWwXzxFA-un-UPfImGYr0IzZqEqY" TargetMode="External"/><Relationship Id="rId29" Type="http://schemas.openxmlformats.org/officeDocument/2006/relationships/hyperlink" Target="https://drive.google.com/open?id=1sjLRPi3CFP4sSJbhCTB89jp_DEwCWN4chE_s38WOsa0" TargetMode="External"/><Relationship Id="rId95" Type="http://schemas.openxmlformats.org/officeDocument/2006/relationships/hyperlink" Target="https://drive.google.com/open?id=1XeoOfW9gcwd6SwFoupHGYRT_ULGAySQs_zBsrvaqw1s" TargetMode="External"/><Relationship Id="rId94" Type="http://schemas.openxmlformats.org/officeDocument/2006/relationships/hyperlink" Target="https://drive.google.com/drive/folders/1Z8s2IFNaGmCYuNfFyOSOmMzSSozp_V_0" TargetMode="External"/><Relationship Id="rId97" Type="http://schemas.openxmlformats.org/officeDocument/2006/relationships/hyperlink" Target="https://drive.google.com/open?id=1wNn0Xpiotstvo7oZ0j5APZILwvB3MaES9Ymdjyh0zr0" TargetMode="External"/><Relationship Id="rId96" Type="http://schemas.openxmlformats.org/officeDocument/2006/relationships/hyperlink" Target="https://drive.google.com/open?id=1dOCoNeD99kcN9U89FfNee3KKkJw-8bJsxXE9HGQkgl4" TargetMode="External"/><Relationship Id="rId11" Type="http://schemas.openxmlformats.org/officeDocument/2006/relationships/hyperlink" Target="https://drive.google.com/open?id=1VUehjZ_oRU3puLU7bz_6ARtT9yeSfI3IX0_UZzRm0mg" TargetMode="External"/><Relationship Id="rId99" Type="http://schemas.openxmlformats.org/officeDocument/2006/relationships/hyperlink" Target="https://drive.google.com/open?id=1iuXuQjwDVcn7V_IpHwsvVA4hOsiOtg5i4I6gXypIiGg" TargetMode="External"/><Relationship Id="rId10" Type="http://schemas.openxmlformats.org/officeDocument/2006/relationships/hyperlink" Target="https://drive.google.com/open?id=1ed23hvDehoIcx2vheC1qGL8Is8SxsClDg7GT_jZ6CeU" TargetMode="External"/><Relationship Id="rId98" Type="http://schemas.openxmlformats.org/officeDocument/2006/relationships/hyperlink" Target="https://drive.google.com/open?id=1XeoOfW9gcwd6SwFoupHGYRT_ULGAySQs_zBsrvaqw1s" TargetMode="External"/><Relationship Id="rId13" Type="http://schemas.openxmlformats.org/officeDocument/2006/relationships/hyperlink" Target="https://drive.google.com/open?id=1HUpFYVSjf-tzE0LN77huBaR9phlH9M2puIyo4H66hBw" TargetMode="External"/><Relationship Id="rId12" Type="http://schemas.openxmlformats.org/officeDocument/2006/relationships/hyperlink" Target="https://drive.google.com/open?id=13RT17nQTZhNtQCiOu-cpeBeXrCDc71Zb9lKMc7_Gzjs" TargetMode="External"/><Relationship Id="rId91" Type="http://schemas.openxmlformats.org/officeDocument/2006/relationships/hyperlink" Target="https://drive.google.com/drive/folders/1FsOZVdktgJWZwUpKPWHSi04N9REx2y-1" TargetMode="External"/><Relationship Id="rId90" Type="http://schemas.openxmlformats.org/officeDocument/2006/relationships/hyperlink" Target="https://drive.google.com/open?id=1Xm_eEma4ZM08PUhv19fV5A9nRh2Fr6LJs_Cuu7bfhWU" TargetMode="External"/><Relationship Id="rId93" Type="http://schemas.openxmlformats.org/officeDocument/2006/relationships/hyperlink" Target="https://drive.google.com/open?id=1nOmkJjqw2hPTb_4TQplvWtt8kbMPFtQvlgJ-ej0p-lI" TargetMode="External"/><Relationship Id="rId92" Type="http://schemas.openxmlformats.org/officeDocument/2006/relationships/hyperlink" Target="https://drive.google.com/open?id=1rQQ6GEaWQOcUQNaKZNX3nH3DvPJ8IEHP7oSAhQMUhhs" TargetMode="External"/><Relationship Id="rId15" Type="http://schemas.openxmlformats.org/officeDocument/2006/relationships/hyperlink" Target="https://drive.google.com/open?id=13RT17nQTZhNtQCiOu-cpeBeXrCDc71Zb9lKMc7_Gzjs" TargetMode="External"/><Relationship Id="rId14" Type="http://schemas.openxmlformats.org/officeDocument/2006/relationships/hyperlink" Target="https://drive.google.com/open?id=1VUehjZ_oRU3puLU7bz_6ARtT9yeSfI3IX0_UZzRm0mg" TargetMode="External"/><Relationship Id="rId17" Type="http://schemas.openxmlformats.org/officeDocument/2006/relationships/hyperlink" Target="https://drive.google.com/open?id=1kv7vHyeXAx4M35t21H5sZqMFhfrlWrSsllZ7IMjlG20" TargetMode="External"/><Relationship Id="rId16" Type="http://schemas.openxmlformats.org/officeDocument/2006/relationships/hyperlink" Target="https://drive.google.com/open?id=1mF-fBd0yssy5oFIHsM5qY9htKMlR7_I6ZScrF1-jYtU" TargetMode="External"/><Relationship Id="rId19" Type="http://schemas.openxmlformats.org/officeDocument/2006/relationships/hyperlink" Target="https://drive.google.com/open?id=1rRj8UyoDesz40m_JV20NZztGJUlbe2LEgNdfhRjGqn4" TargetMode="External"/><Relationship Id="rId18" Type="http://schemas.openxmlformats.org/officeDocument/2006/relationships/hyperlink" Target="https://drive.google.com/open?id=1dRdAXmX9u2L-0qKLeW-o9OwoMaaJsik74C9nhysu_GY" TargetMode="External"/><Relationship Id="rId84" Type="http://schemas.openxmlformats.org/officeDocument/2006/relationships/hyperlink" Target="https://drive.google.com/open?id=1M4jnuaa2B9YKFKziLYkDIfvpLMBWhqCA7lAzhj2Is98" TargetMode="External"/><Relationship Id="rId83" Type="http://schemas.openxmlformats.org/officeDocument/2006/relationships/hyperlink" Target="https://drive.google.com/open?id=1nosImrgfj6M33rqNoPWdwRnjLoxIpkCgcJW5T5ao69A" TargetMode="External"/><Relationship Id="rId86" Type="http://schemas.openxmlformats.org/officeDocument/2006/relationships/hyperlink" Target="https://drive.google.com/open?id=1nosImrgfj6M33rqNoPWdwRnjLoxIpkCgcJW5T5ao69A" TargetMode="External"/><Relationship Id="rId85" Type="http://schemas.openxmlformats.org/officeDocument/2006/relationships/hyperlink" Target="https://drive.google.com/drive/folders/1W2xKDSg3O79TlJlkS3R_pP0V76POHS4i" TargetMode="External"/><Relationship Id="rId88" Type="http://schemas.openxmlformats.org/officeDocument/2006/relationships/hyperlink" Target="https://drive.google.com/drive/folders/1jv23eIOW0TR8AjfgY6DcfGMyfYVbpTbQ" TargetMode="External"/><Relationship Id="rId87" Type="http://schemas.openxmlformats.org/officeDocument/2006/relationships/hyperlink" Target="https://drive.google.com/open?id=1gKBIQC0lyCG7SPhdZtg6WnAdkWjj8Eg11oGyfHHOV7s" TargetMode="External"/><Relationship Id="rId89" Type="http://schemas.openxmlformats.org/officeDocument/2006/relationships/hyperlink" Target="https://drive.google.com/open?id=1rQQ6GEaWQOcUQNaKZNX3nH3DvPJ8IEHP7oSAhQMUhhs" TargetMode="External"/><Relationship Id="rId80" Type="http://schemas.openxmlformats.org/officeDocument/2006/relationships/hyperlink" Target="https://drive.google.com/open?id=1XvQxW4sP6X7lXcA5WDjbN9io6X85Kts7PmDtnHY1sMc" TargetMode="External"/><Relationship Id="rId82" Type="http://schemas.openxmlformats.org/officeDocument/2006/relationships/hyperlink" Target="https://drive.google.com/drive/folders/18BXCourmJnrMqeitagZy9aaWQ7ewKAqb" TargetMode="External"/><Relationship Id="rId81" Type="http://schemas.openxmlformats.org/officeDocument/2006/relationships/hyperlink" Target="https://drive.google.com/open?id=1sznscnWQNg9TNdged_tspUHQJSxQdxmqkG9b-patu0s" TargetMode="External"/><Relationship Id="rId1" Type="http://schemas.openxmlformats.org/officeDocument/2006/relationships/hyperlink" Target="https://drive.google.com/open?id=1eG8dhwNCAfVWenQ1whbKAnaRUv7F5Of_uoaraicz5sM" TargetMode="External"/><Relationship Id="rId2" Type="http://schemas.openxmlformats.org/officeDocument/2006/relationships/hyperlink" Target="https://drive.google.com/open?id=19C4G-zkToJtMA8ZOmQHz1Q28gP7BWxM-UXvyzXs36zI" TargetMode="External"/><Relationship Id="rId3" Type="http://schemas.openxmlformats.org/officeDocument/2006/relationships/hyperlink" Target="https://drive.google.com/open?id=14_VhM5bUM9ZZfgs2T0zOnTpr9d-mvbXZzy8m9dSMlys" TargetMode="External"/><Relationship Id="rId4" Type="http://schemas.openxmlformats.org/officeDocument/2006/relationships/hyperlink" Target="https://drive.google.com/open?id=10xFEtcmZZtZ7QxmTS9qoKE9cXUHHwBKRPjcDVtgta2M" TargetMode="External"/><Relationship Id="rId9" Type="http://schemas.openxmlformats.org/officeDocument/2006/relationships/hyperlink" Target="https://drive.google.com/open?id=1oT9xyGf0ga0yoLlq1ot1ZoZnU6S5Nku7LgjKGWuuUns" TargetMode="External"/><Relationship Id="rId5" Type="http://schemas.openxmlformats.org/officeDocument/2006/relationships/hyperlink" Target="https://drive.google.com/open?id=1WHFEhkitoEoy6rgFFJTFzYXgSkvqHu1gHmbIOuK0tCE" TargetMode="External"/><Relationship Id="rId6" Type="http://schemas.openxmlformats.org/officeDocument/2006/relationships/hyperlink" Target="https://drive.google.com/open?id=1oT9xyGf0ga0yoLlq1ot1ZoZnU6S5Nku7LgjKGWuuUns" TargetMode="External"/><Relationship Id="rId7" Type="http://schemas.openxmlformats.org/officeDocument/2006/relationships/hyperlink" Target="https://drive.google.com/open?id=1JdIMFZIuU1ARJX4THkbRBBNhOoWSj7vXAc4Wzoy0g54" TargetMode="External"/><Relationship Id="rId8" Type="http://schemas.openxmlformats.org/officeDocument/2006/relationships/hyperlink" Target="https://drive.google.com/open?id=1WHFEhkitoEoy6rgFFJTFzYXgSkvqHu1gHmbIOuK0tCE" TargetMode="External"/><Relationship Id="rId73" Type="http://schemas.openxmlformats.org/officeDocument/2006/relationships/hyperlink" Target="https://drive.google.com/drive/folders/1ZhIvwdkvpIFGTyvoXc1jxJubZ5ORXT5V" TargetMode="External"/><Relationship Id="rId72" Type="http://schemas.openxmlformats.org/officeDocument/2006/relationships/hyperlink" Target="https://drive.google.com/open?id=1qbtarmHNV3mZPxeGYiL6Q95Bz6TdBilEVo3LI3Pc1hE" TargetMode="External"/><Relationship Id="rId75" Type="http://schemas.openxmlformats.org/officeDocument/2006/relationships/hyperlink" Target="https://drive.google.com/open?id=1MMFd6ETm_DZdRvKSaCyLIpf0CSe2CEAWqNK8hF2qrzg" TargetMode="External"/><Relationship Id="rId74" Type="http://schemas.openxmlformats.org/officeDocument/2006/relationships/hyperlink" Target="https://drive.google.com/open?id=1igjU4S8mwPsxaFXQNFRaa7zINv-mOXdbr65KBYWl5cw" TargetMode="External"/><Relationship Id="rId77" Type="http://schemas.openxmlformats.org/officeDocument/2006/relationships/hyperlink" Target="https://drive.google.com/open?id=1XvQxW4sP6X7lXcA5WDjbN9io6X85Kts7PmDtnHY1sMc" TargetMode="External"/><Relationship Id="rId76" Type="http://schemas.openxmlformats.org/officeDocument/2006/relationships/hyperlink" Target="https://drive.google.com/drive/folders/1tmVldIuVYKb7Fb1K3GGwRd2U0jdcbqth" TargetMode="External"/><Relationship Id="rId79" Type="http://schemas.openxmlformats.org/officeDocument/2006/relationships/hyperlink" Target="https://drive.google.com/drive/folders/1j_zugc-LYuPFqvIDd5Zuf0-qcrKzyqEh" TargetMode="External"/><Relationship Id="rId78" Type="http://schemas.openxmlformats.org/officeDocument/2006/relationships/hyperlink" Target="https://drive.google.com/open?id=1sjUJpmMkOTl7pRpFI7pL67SZiArG5p_438hIVKHYDog" TargetMode="External"/><Relationship Id="rId71" Type="http://schemas.openxmlformats.org/officeDocument/2006/relationships/hyperlink" Target="https://drive.google.com/open?id=1igjU4S8mwPsxaFXQNFRaa7zINv-mOXdbr65KBYWl5cw" TargetMode="External"/><Relationship Id="rId70" Type="http://schemas.openxmlformats.org/officeDocument/2006/relationships/hyperlink" Target="https://drive.google.com/drive/folders/1NSn-A8Hv0vq4fr8SGzUhqOkPtHd0tK-x" TargetMode="External"/><Relationship Id="rId62" Type="http://schemas.openxmlformats.org/officeDocument/2006/relationships/hyperlink" Target="https://drive.google.com/open?id=1TQLmBImkCaWUft2Z-IXFnFr39Jc_c25QhA2kcseRF_0" TargetMode="External"/><Relationship Id="rId61" Type="http://schemas.openxmlformats.org/officeDocument/2006/relationships/hyperlink" Target="https://drive.google.com/drive/folders/1iZ3HgmIvXIEcTaYbEqmSipYl8NIXvK62" TargetMode="External"/><Relationship Id="rId64" Type="http://schemas.openxmlformats.org/officeDocument/2006/relationships/hyperlink" Target="https://drive.google.com/drive/folders/16CZB3Sn918GUopd0xh1T4YKPMsOd0MBr" TargetMode="External"/><Relationship Id="rId63" Type="http://schemas.openxmlformats.org/officeDocument/2006/relationships/hyperlink" Target="https://drive.google.com/open?id=1VbPTKFJUt5S2Jzqxdm2gGEkH3NbRZh3jkaftCNU1kqE" TargetMode="External"/><Relationship Id="rId66" Type="http://schemas.openxmlformats.org/officeDocument/2006/relationships/hyperlink" Target="https://drive.google.com/open?id=1e5gJLFa5HQRCqOCYo4BXfZE_SkKWT9Uzou4FjrcAUkI" TargetMode="External"/><Relationship Id="rId65" Type="http://schemas.openxmlformats.org/officeDocument/2006/relationships/hyperlink" Target="https://drive.google.com/open?id=1A8m4iIEG7aAdmy6wBt1CGx8j5PZE5Q_Brt8ckA4OUH4" TargetMode="External"/><Relationship Id="rId68" Type="http://schemas.openxmlformats.org/officeDocument/2006/relationships/hyperlink" Target="https://drive.google.com/open?id=1A8m4iIEG7aAdmy6wBt1CGx8j5PZE5Q_Brt8ckA4OUH4" TargetMode="External"/><Relationship Id="rId67" Type="http://schemas.openxmlformats.org/officeDocument/2006/relationships/hyperlink" Target="https://drive.google.com/drive/folders/1H0-KS4pihJW7Ud8bBRf7xeXU_Zfuk9z7" TargetMode="External"/><Relationship Id="rId60" Type="http://schemas.openxmlformats.org/officeDocument/2006/relationships/hyperlink" Target="https://drive.google.com/open?id=1WqWEf3h4WR1ag4k_ePbLeONKVg3o5sArh614Ceqb8LY" TargetMode="External"/><Relationship Id="rId69" Type="http://schemas.openxmlformats.org/officeDocument/2006/relationships/hyperlink" Target="https://drive.google.com/open?id=1CbRG_vbveTL9PvOUKFggJq11rXKrT81464_-Bc0V4Dk" TargetMode="External"/><Relationship Id="rId51" Type="http://schemas.openxmlformats.org/officeDocument/2006/relationships/hyperlink" Target="https://drive.google.com/open?id=1o7i1kSvXEbRvkCXl4oTp8YKPFVwgIdi46K2SmQSdksM" TargetMode="External"/><Relationship Id="rId50" Type="http://schemas.openxmlformats.org/officeDocument/2006/relationships/hyperlink" Target="https://drive.google.com/open?id=1FGOdhMsI4NVsEZq3BtaIVAZVfZxHTGBh9KCzujPKG10" TargetMode="External"/><Relationship Id="rId53" Type="http://schemas.openxmlformats.org/officeDocument/2006/relationships/hyperlink" Target="https://drive.google.com/open?id=1DxNiLE0NwYqtK2n24quY57JOrC9Z0cwpSDxGoyTL6wQ" TargetMode="External"/><Relationship Id="rId52" Type="http://schemas.openxmlformats.org/officeDocument/2006/relationships/hyperlink" Target="https://drive.google.com/drive/folders/1zMoUtJSiZDuJhX9EuC-Rz2YHxIOS6ow4" TargetMode="External"/><Relationship Id="rId55" Type="http://schemas.openxmlformats.org/officeDocument/2006/relationships/hyperlink" Target="https://drive.google.com/drive/folders/1u6H71nCwdnm--H1fcyPHcHxo9Ewmnnwa" TargetMode="External"/><Relationship Id="rId54" Type="http://schemas.openxmlformats.org/officeDocument/2006/relationships/hyperlink" Target="https://drive.google.com/open?id=1jSojIg32NnqwkcAZAjQRNF232pqyJHszIzl27Zj7Ik0" TargetMode="External"/><Relationship Id="rId57" Type="http://schemas.openxmlformats.org/officeDocument/2006/relationships/hyperlink" Target="https://drive.google.com/open?id=13yF57Wh7rYtp1jS1JJXTQUAlBVoEF6UFDRf-w72HuZk" TargetMode="External"/><Relationship Id="rId56" Type="http://schemas.openxmlformats.org/officeDocument/2006/relationships/hyperlink" Target="https://drive.google.com/open?id=1DxNiLE0NwYqtK2n24quY57JOrC9Z0cwpSDxGoyTL6wQ" TargetMode="External"/><Relationship Id="rId59" Type="http://schemas.openxmlformats.org/officeDocument/2006/relationships/hyperlink" Target="https://drive.google.com/open?id=1TQLmBImkCaWUft2Z-IXFnFr39Jc_c25QhA2kcseRF_0" TargetMode="External"/><Relationship Id="rId58" Type="http://schemas.openxmlformats.org/officeDocument/2006/relationships/hyperlink" Target="https://drive.google.com/drive/folders/17T_wwiyqv4Q_hiKmoWuDePszcxnRJApB" TargetMode="External"/></Relationships>
</file>

<file path=xl/worksheets/_rels/sheet8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open?id=1_d9oien_J66laPNcB4VQNrFDKRMQS_NK" TargetMode="External"/><Relationship Id="rId42" Type="http://schemas.openxmlformats.org/officeDocument/2006/relationships/hyperlink" Target="https://drive.google.com/open?id=13kRqv3DrK7x306ZQDLEvjl6q9Jl0y21M" TargetMode="External"/><Relationship Id="rId41" Type="http://schemas.openxmlformats.org/officeDocument/2006/relationships/hyperlink" Target="https://drive.google.com/open?id=1ki2C4ujWDEv7TlVU5n-XF3_gzEhTvFM8nV34uwhs64g" TargetMode="External"/><Relationship Id="rId44" Type="http://schemas.openxmlformats.org/officeDocument/2006/relationships/hyperlink" Target="https://drive.google.com/open?id=1TpTzaIgUeuc1A4STjkTBGdo6nH8jW4yW" TargetMode="External"/><Relationship Id="rId43" Type="http://schemas.openxmlformats.org/officeDocument/2006/relationships/hyperlink" Target="https://drive.google.com/open?id=1ki2C4ujWDEv7TlVU5n-XF3_gzEhTvFM8nV34uwhs64g" TargetMode="External"/><Relationship Id="rId46" Type="http://schemas.openxmlformats.org/officeDocument/2006/relationships/hyperlink" Target="https://drive.google.com/open?id=1YBoz3l3uvH5Ggqt0U4_NTN1sqECi92Py" TargetMode="External"/><Relationship Id="rId45" Type="http://schemas.openxmlformats.org/officeDocument/2006/relationships/hyperlink" Target="https://drive.google.com/open?id=1vYN1iL4ELHTsk61B0ulAazNcEzG4uFF3CJte6JgZsaE" TargetMode="External"/><Relationship Id="rId48" Type="http://schemas.openxmlformats.org/officeDocument/2006/relationships/hyperlink" Target="https://drive.google.com/open?id=1w9M7Dn0JbScAd3zfZmwUMoL0QFFStZjN" TargetMode="External"/><Relationship Id="rId47" Type="http://schemas.openxmlformats.org/officeDocument/2006/relationships/hyperlink" Target="https://drive.google.com/open?id=1vYN1iL4ELHTsk61B0ulAazNcEzG4uFF3CJte6JgZsaE" TargetMode="External"/><Relationship Id="rId49" Type="http://schemas.openxmlformats.org/officeDocument/2006/relationships/hyperlink" Target="https://drive.google.com/open?id=1vYN1iL4ELHTsk61B0ulAazNcEzG4uFF3CJte6JgZsaE" TargetMode="External"/><Relationship Id="rId31" Type="http://schemas.openxmlformats.org/officeDocument/2006/relationships/hyperlink" Target="https://drive.google.com/open?id=1Wj-d32YhHkN01XQQaGvW2A1qnshje2OHGYZLZiPN8qs" TargetMode="External"/><Relationship Id="rId30" Type="http://schemas.openxmlformats.org/officeDocument/2006/relationships/hyperlink" Target="https://drive.google.com/open?id=1O9IzS44IqDt7FOODV8ry9CmJia94UwAJ" TargetMode="External"/><Relationship Id="rId33" Type="http://schemas.openxmlformats.org/officeDocument/2006/relationships/hyperlink" Target="https://drive.google.com/open?id=1Wj-d32YhHkN01XQQaGvW2A1qnshje2OHGYZLZiPN8qs" TargetMode="External"/><Relationship Id="rId32" Type="http://schemas.openxmlformats.org/officeDocument/2006/relationships/hyperlink" Target="https://drive.google.com/open?id=1g6DSCjMGDwwiRWUNn5TfNl-V0rPdbUwSHNCHJkxzswY" TargetMode="External"/><Relationship Id="rId35" Type="http://schemas.openxmlformats.org/officeDocument/2006/relationships/hyperlink" Target="https://drive.google.com/open?id=1Wj-d32YhHkN01XQQaGvW2A1qnshje2OHGYZLZiPN8qs" TargetMode="External"/><Relationship Id="rId34" Type="http://schemas.openxmlformats.org/officeDocument/2006/relationships/hyperlink" Target="https://drive.google.com/open?id=1qLWoaF5MtnyllOb_bjfbq8XCZuU8cHp5" TargetMode="External"/><Relationship Id="rId37" Type="http://schemas.openxmlformats.org/officeDocument/2006/relationships/hyperlink" Target="https://drive.google.com/open?id=1xGTy2zxYlCm2Ui96lXPsvD5S80DDJaoELN4bWfbcMhY" TargetMode="External"/><Relationship Id="rId36" Type="http://schemas.openxmlformats.org/officeDocument/2006/relationships/hyperlink" Target="https://drive.google.com/open?id=1uyxqR1SOwHPxria6IGGJY-8UUp4TKY0l" TargetMode="External"/><Relationship Id="rId39" Type="http://schemas.openxmlformats.org/officeDocument/2006/relationships/hyperlink" Target="https://drive.google.com/open?id=1xGTy2zxYlCm2Ui96lXPsvD5S80DDJaoELN4bWfbcMhY" TargetMode="External"/><Relationship Id="rId38" Type="http://schemas.openxmlformats.org/officeDocument/2006/relationships/hyperlink" Target="https://drive.google.com/open?id=1fo26b0qrjYlcSB-8F9uW8TaD53-_SvMJ" TargetMode="External"/><Relationship Id="rId20" Type="http://schemas.openxmlformats.org/officeDocument/2006/relationships/hyperlink" Target="https://drive.google.com/open?id=18tVHzBvgJ8nDH72igiW8ysRaRAnuvoQE" TargetMode="External"/><Relationship Id="rId22" Type="http://schemas.openxmlformats.org/officeDocument/2006/relationships/hyperlink" Target="https://drive.google.com/open?id=1xYSnkRjIDtVHNXzo12_9S24X3dqbs-Rq" TargetMode="External"/><Relationship Id="rId21" Type="http://schemas.openxmlformats.org/officeDocument/2006/relationships/hyperlink" Target="https://drive.google.com/open?id=17f7slbWmxUGWajEAWfT3PxE3EfU9tz924xhPQM1Y_is" TargetMode="External"/><Relationship Id="rId24" Type="http://schemas.openxmlformats.org/officeDocument/2006/relationships/hyperlink" Target="https://drive.google.com/open?id=1XCU-OpmQsxqWZMxo_uM1WfG0rVuacp1O" TargetMode="External"/><Relationship Id="rId23" Type="http://schemas.openxmlformats.org/officeDocument/2006/relationships/hyperlink" Target="https://drive.google.com/open?id=17f7slbWmxUGWajEAWfT3PxE3EfU9tz924xhPQM1Y_is" TargetMode="External"/><Relationship Id="rId26" Type="http://schemas.openxmlformats.org/officeDocument/2006/relationships/hyperlink" Target="https://drive.google.com/open?id=168ERgIT0MUhmsX61TdPJGMKY_jGn0Iex" TargetMode="External"/><Relationship Id="rId25" Type="http://schemas.openxmlformats.org/officeDocument/2006/relationships/hyperlink" Target="https://drive.google.com/open?id=1azdCXd7wcSnAtuG0UAoCOWjRd0NfgbhgtWzPbkkqNnY" TargetMode="External"/><Relationship Id="rId28" Type="http://schemas.openxmlformats.org/officeDocument/2006/relationships/hyperlink" Target="https://drive.google.com/open?id=1u91_J5z5UNulmCN_Xk5jxpQOvCqLpFrs" TargetMode="External"/><Relationship Id="rId27" Type="http://schemas.openxmlformats.org/officeDocument/2006/relationships/hyperlink" Target="https://drive.google.com/open?id=1azdCXd7wcSnAtuG0UAoCOWjRd0NfgbhgtWzPbkkqNnY" TargetMode="External"/><Relationship Id="rId29" Type="http://schemas.openxmlformats.org/officeDocument/2006/relationships/hyperlink" Target="https://drive.google.com/open?id=1Wj-d32YhHkN01XQQaGvW2A1qnshje2OHGYZLZiPN8qs" TargetMode="External"/><Relationship Id="rId11" Type="http://schemas.openxmlformats.org/officeDocument/2006/relationships/hyperlink" Target="https://drive.google.com/open?id=1gErdQQGCkYn6AzaWeoQiag5Pk7nW2TqbfrhVeNZdQ-0" TargetMode="External"/><Relationship Id="rId10" Type="http://schemas.openxmlformats.org/officeDocument/2006/relationships/hyperlink" Target="https://drive.google.com/open?id=1kYF9qyTKahgPS3SueuGIqYLJiTAxlzhJ" TargetMode="External"/><Relationship Id="rId13" Type="http://schemas.openxmlformats.org/officeDocument/2006/relationships/hyperlink" Target="https://drive.google.com/open?id=1gErdQQGCkYn6AzaWeoQiag5Pk7nW2TqbfrhVeNZdQ-0" TargetMode="External"/><Relationship Id="rId12" Type="http://schemas.openxmlformats.org/officeDocument/2006/relationships/hyperlink" Target="https://drive.google.com/open?id=1JaCjVW1IZESfp0_X8EHjVSYfmmAJaHeg" TargetMode="External"/><Relationship Id="rId15" Type="http://schemas.openxmlformats.org/officeDocument/2006/relationships/hyperlink" Target="https://drive.google.com/open?id=1dMCxDfIPCRM8Eiv2zoW0wehXROuIhpQbO9tgFqUY_kU" TargetMode="External"/><Relationship Id="rId14" Type="http://schemas.openxmlformats.org/officeDocument/2006/relationships/hyperlink" Target="https://drive.google.com/open?id=1A7pbBsRbJKzkMbABn7OWCtHfH1lGC6iR" TargetMode="External"/><Relationship Id="rId17" Type="http://schemas.openxmlformats.org/officeDocument/2006/relationships/hyperlink" Target="https://drive.google.com/open?id=1dMCxDfIPCRM8Eiv2zoW0wehXROuIhpQbO9tgFqUY_kU" TargetMode="External"/><Relationship Id="rId16" Type="http://schemas.openxmlformats.org/officeDocument/2006/relationships/hyperlink" Target="https://drive.google.com/open?id=11qrXHgJYciJsNZ5xAZK4zw43pxQCuToq" TargetMode="External"/><Relationship Id="rId19" Type="http://schemas.openxmlformats.org/officeDocument/2006/relationships/hyperlink" Target="https://drive.google.com/open?id=1dMCxDfIPCRM8Eiv2zoW0wehXROuIhpQbO9tgFqUY_kU" TargetMode="External"/><Relationship Id="rId18" Type="http://schemas.openxmlformats.org/officeDocument/2006/relationships/hyperlink" Target="https://drive.google.com/open?id=1kpNrMZwAdbOjjZ6vTe3S5vToMZjFaI7H" TargetMode="External"/><Relationship Id="rId1" Type="http://schemas.openxmlformats.org/officeDocument/2006/relationships/hyperlink" Target="https://drive.google.com/open?id=1gawrUw9-400s_7DZd6Yam5max9ws6Ffa" TargetMode="External"/><Relationship Id="rId2" Type="http://schemas.openxmlformats.org/officeDocument/2006/relationships/hyperlink" Target="https://drive.google.com/open?id=1nFdOFNK27gnkpbYpyDlktHRjdkxWIZTZ" TargetMode="External"/><Relationship Id="rId3" Type="http://schemas.openxmlformats.org/officeDocument/2006/relationships/hyperlink" Target="https://drive.google.com/open?id=1Zmv6_jnz3ALZINgumbkn5iak2pbLHPF-u2BsdjWOL24" TargetMode="External"/><Relationship Id="rId4" Type="http://schemas.openxmlformats.org/officeDocument/2006/relationships/hyperlink" Target="https://drive.google.com/open?id=1w9qTJoS1fqb5vdRpuyFqpiSk4xSAK8sv" TargetMode="External"/><Relationship Id="rId9" Type="http://schemas.openxmlformats.org/officeDocument/2006/relationships/hyperlink" Target="https://drive.google.com/open?id=14J0WNZJfw9riWej1Uc5TbJS6IiXpIlbt" TargetMode="External"/><Relationship Id="rId5" Type="http://schemas.openxmlformats.org/officeDocument/2006/relationships/hyperlink" Target="https://drive.google.com/open?id=1VVDswvVFHGQELehJfFOGCqC_6-lR7Gt2DkA_XnFHHkM" TargetMode="External"/><Relationship Id="rId6" Type="http://schemas.openxmlformats.org/officeDocument/2006/relationships/hyperlink" Target="https://drive.google.com/open?id=19YfhXgO_Qo05liv-vKAqr_nd3js4EeUw" TargetMode="External"/><Relationship Id="rId7" Type="http://schemas.openxmlformats.org/officeDocument/2006/relationships/hyperlink" Target="https://drive.google.com/open?id=14J0WNZJfw9riWej1Uc5TbJS6IiXpIlbt" TargetMode="External"/><Relationship Id="rId8" Type="http://schemas.openxmlformats.org/officeDocument/2006/relationships/hyperlink" Target="https://drive.google.com/open?id=1gb0TkMHz2po5IwTl3lmBrDCXGj3Blj59" TargetMode="External"/><Relationship Id="rId70" Type="http://schemas.openxmlformats.org/officeDocument/2006/relationships/drawing" Target="../drawings/drawing8.xml"/><Relationship Id="rId62" Type="http://schemas.openxmlformats.org/officeDocument/2006/relationships/hyperlink" Target="https://drive.google.com/open?id=1lAyGSNFcug753XOenC1SWfcKjcWRGgGb" TargetMode="External"/><Relationship Id="rId61" Type="http://schemas.openxmlformats.org/officeDocument/2006/relationships/hyperlink" Target="https://drive.google.com/open?id=1EVUaCy_Fg3dUeuLlltPywaq17STxTQaB" TargetMode="External"/><Relationship Id="rId64" Type="http://schemas.openxmlformats.org/officeDocument/2006/relationships/hyperlink" Target="https://drive.google.com/open?id=1AiGLle3w4k5jbcqh1v_XmaLy17Bf9AHB" TargetMode="External"/><Relationship Id="rId63" Type="http://schemas.openxmlformats.org/officeDocument/2006/relationships/hyperlink" Target="https://drive.google.com/open?id=1-plQzF2HgiwBcHDtpQxFdGOan9U7utO066aCTjJKF0E" TargetMode="External"/><Relationship Id="rId66" Type="http://schemas.openxmlformats.org/officeDocument/2006/relationships/hyperlink" Target="https://drive.google.com/open?id=1jhctoygJPnIsW75SJzwqCJNzh2ssGZPa" TargetMode="External"/><Relationship Id="rId65" Type="http://schemas.openxmlformats.org/officeDocument/2006/relationships/hyperlink" Target="https://drive.google.com/open?id=1-plQzF2HgiwBcHDtpQxFdGOan9U7utO066aCTjJKF0E" TargetMode="External"/><Relationship Id="rId68" Type="http://schemas.openxmlformats.org/officeDocument/2006/relationships/hyperlink" Target="https://drive.google.com/open?id=1w8DnScRkCacCsLVAGrnRK2m22GRlMA9T" TargetMode="External"/><Relationship Id="rId67" Type="http://schemas.openxmlformats.org/officeDocument/2006/relationships/hyperlink" Target="https://drive.google.com/open?id=13y_kIvYYU0tvQCEjmFxt1Hocrs4EQXvqz2Btyv_bunU" TargetMode="External"/><Relationship Id="rId60" Type="http://schemas.openxmlformats.org/officeDocument/2006/relationships/hyperlink" Target="https://drive.google.com/open?id=1sLE3Rk-0YIiY7UDrJTOpUBw_gWWnyYKh" TargetMode="External"/><Relationship Id="rId69" Type="http://schemas.openxmlformats.org/officeDocument/2006/relationships/hyperlink" Target="https://drive.google.com/open?id=13y_kIvYYU0tvQCEjmFxt1Hocrs4EQXvqz2Btyv_bunU" TargetMode="External"/><Relationship Id="rId51" Type="http://schemas.openxmlformats.org/officeDocument/2006/relationships/hyperlink" Target="https://drive.google.com/open?id=10jxfCVxM8G9vaoOxC8dO3Gs-j9tkwk-WStTdOOq2-XA" TargetMode="External"/><Relationship Id="rId50" Type="http://schemas.openxmlformats.org/officeDocument/2006/relationships/hyperlink" Target="https://drive.google.com/open?id=11qB3do5kHcsLONa7G9jTO0EsFagFKCsS" TargetMode="External"/><Relationship Id="rId53" Type="http://schemas.openxmlformats.org/officeDocument/2006/relationships/hyperlink" Target="https://drive.google.com/open?id=10jxfCVxM8G9vaoOxC8dO3Gs-j9tkwk-WStTdOOq2-XA" TargetMode="External"/><Relationship Id="rId52" Type="http://schemas.openxmlformats.org/officeDocument/2006/relationships/hyperlink" Target="https://drive.google.com/open?id=1obzN3NyJYuYHMTC7r9C7atwsKnFyiQyv" TargetMode="External"/><Relationship Id="rId55" Type="http://schemas.openxmlformats.org/officeDocument/2006/relationships/hyperlink" Target="https://drive.google.com/open?id=1cObFuhG2qNzRZ-aSCya5HzhUzGwZa275uknvNSo_jWs" TargetMode="External"/><Relationship Id="rId54" Type="http://schemas.openxmlformats.org/officeDocument/2006/relationships/hyperlink" Target="https://drive.google.com/open?id=1-WkzXGkoIltYQIKs42PK-6-uVN3j3b7K" TargetMode="External"/><Relationship Id="rId57" Type="http://schemas.openxmlformats.org/officeDocument/2006/relationships/hyperlink" Target="https://drive.google.com/open?id=1cObFuhG2qNzRZ-aSCya5HzhUzGwZa275uknvNSo_jWs" TargetMode="External"/><Relationship Id="rId56" Type="http://schemas.openxmlformats.org/officeDocument/2006/relationships/hyperlink" Target="https://drive.google.com/open?id=190zerguRML1fMTdyIQFXiwd8ZdqFmNU1" TargetMode="External"/><Relationship Id="rId59" Type="http://schemas.openxmlformats.org/officeDocument/2006/relationships/hyperlink" Target="https://drive.google.com/open?id=1EVUaCy_Fg3dUeuLlltPywaq17STxTQaB" TargetMode="External"/><Relationship Id="rId58" Type="http://schemas.openxmlformats.org/officeDocument/2006/relationships/hyperlink" Target="https://drive.google.com/open?id=1gRmD_eTYR-qGUfaUV66pLItREm6rA0ZT" TargetMode="External"/></Relationships>
</file>

<file path=xl/worksheets/_rels/sheet9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open?id=1_3I21buiMgu-bV3r1cbgwboJmD1tXV_iNiIF0sLH__E" TargetMode="External"/><Relationship Id="rId42" Type="http://schemas.openxmlformats.org/officeDocument/2006/relationships/hyperlink" Target="https://drive.google.com/open?id=1oBr9K8-Ac7sxklN1X5NFJLjmXnRp50d4wY8fSLl2X1U" TargetMode="External"/><Relationship Id="rId41" Type="http://schemas.openxmlformats.org/officeDocument/2006/relationships/hyperlink" Target="https://drive.google.com/drive/folders/1noeDusxYUylGbMcS8KbeXA7i9dKZ3z9x" TargetMode="External"/><Relationship Id="rId44" Type="http://schemas.openxmlformats.org/officeDocument/2006/relationships/hyperlink" Target="https://drive.google.com/open?id=1oBr9K8-Ac7sxklN1X5NFJLjmXnRp50d4wY8fSLl2X1U" TargetMode="External"/><Relationship Id="rId43" Type="http://schemas.openxmlformats.org/officeDocument/2006/relationships/hyperlink" Target="https://drive.google.com/drive/folders/1pV6i3m-dHD3Psr7ZLm99jC3BzZ-MbaIF" TargetMode="External"/><Relationship Id="rId46" Type="http://schemas.openxmlformats.org/officeDocument/2006/relationships/hyperlink" Target="https://drive.google.com/open?id=1oBr9K8-Ac7sxklN1X5NFJLjmXnRp50d4wY8fSLl2X1U" TargetMode="External"/><Relationship Id="rId45" Type="http://schemas.openxmlformats.org/officeDocument/2006/relationships/hyperlink" Target="https://drive.google.com/drive/folders/19IlcUxqMHKVnhrNnsOvgWakHwAcngV9n" TargetMode="External"/><Relationship Id="rId48" Type="http://schemas.openxmlformats.org/officeDocument/2006/relationships/hyperlink" Target="https://drive.google.com/open?id=1oBr9K8-Ac7sxklN1X5NFJLjmXnRp50d4wY8fSLl2X1U" TargetMode="External"/><Relationship Id="rId47" Type="http://schemas.openxmlformats.org/officeDocument/2006/relationships/hyperlink" Target="https://drive.google.com/drive/folders/12ZN6ebVwCyKuZ3peGMcnW6m7sx0iOQKb" TargetMode="External"/><Relationship Id="rId49" Type="http://schemas.openxmlformats.org/officeDocument/2006/relationships/hyperlink" Target="https://drive.google.com/drive/folders/1iEt4G5e7ySD1cjjWFc2mFmBOrFzqAAL1" TargetMode="External"/><Relationship Id="rId31" Type="http://schemas.openxmlformats.org/officeDocument/2006/relationships/hyperlink" Target="https://drive.google.com/drive/folders/15H4F0_O8XH6NfcJMIkdYy2qXG83ww69F" TargetMode="External"/><Relationship Id="rId30" Type="http://schemas.openxmlformats.org/officeDocument/2006/relationships/hyperlink" Target="https://drive.google.com/open?id=16X42i_LgSIQ2A7EBIZeAQqgRrUJJC-kHi4vcJR2sq7I" TargetMode="External"/><Relationship Id="rId33" Type="http://schemas.openxmlformats.org/officeDocument/2006/relationships/hyperlink" Target="https://drive.google.com/drive/folders/1BISI-fM35z8WwBPTnlPEVQtAz8GUpT-F" TargetMode="External"/><Relationship Id="rId32" Type="http://schemas.openxmlformats.org/officeDocument/2006/relationships/hyperlink" Target="https://drive.google.com/open?id=1okLRKGBqiHN2ZNrr-hGOwTsNn4L32RkgBkQ1NzYPoag" TargetMode="External"/><Relationship Id="rId35" Type="http://schemas.openxmlformats.org/officeDocument/2006/relationships/hyperlink" Target="https://drive.google.com/drive/folders/15xXAFEUloUHquIH7h3IoJ8PRSwl52Bt0" TargetMode="External"/><Relationship Id="rId34" Type="http://schemas.openxmlformats.org/officeDocument/2006/relationships/hyperlink" Target="https://drive.google.com/open?id=1ib5r9w2asXNgJGOLrJOgixpJSVxzn_sMQtc38GYo9x4" TargetMode="External"/><Relationship Id="rId37" Type="http://schemas.openxmlformats.org/officeDocument/2006/relationships/hyperlink" Target="https://drive.google.com/open?id=105xdfZsyzZ0dgOoprxdPU4PvXCRNmzmnXKbrIooXM2g" TargetMode="External"/><Relationship Id="rId36" Type="http://schemas.openxmlformats.org/officeDocument/2006/relationships/hyperlink" Target="https://drive.google.com/open?id=1SjZz1OsukLlGwJnl7Vwi6-YmLqTfJ6q-TLn4p2p-HkU" TargetMode="External"/><Relationship Id="rId39" Type="http://schemas.openxmlformats.org/officeDocument/2006/relationships/hyperlink" Target="https://drive.google.com/drive/folders/1csVnRXQ21snbPMTWvhA4XoBNzCTXTPW5" TargetMode="External"/><Relationship Id="rId38" Type="http://schemas.openxmlformats.org/officeDocument/2006/relationships/hyperlink" Target="https://drive.google.com/open?id=1jq0qwDcfxcOREMKn3nxJPRC_AtxPctug8mG2xctjMns" TargetMode="External"/><Relationship Id="rId20" Type="http://schemas.openxmlformats.org/officeDocument/2006/relationships/hyperlink" Target="https://drive.google.com/open?id=19mCfUTG4lsvplXzzjdXAXagIe6-9tydgrEHhrRm08Cc" TargetMode="External"/><Relationship Id="rId22" Type="http://schemas.openxmlformats.org/officeDocument/2006/relationships/hyperlink" Target="https://drive.google.com/open?id=19mCfUTG4lsvplXzzjdXAXagIe6-9tydgrEHhrRm08Cc" TargetMode="External"/><Relationship Id="rId21" Type="http://schemas.openxmlformats.org/officeDocument/2006/relationships/hyperlink" Target="https://drive.google.com/open?id=1rHY-4K2t5oBrBufIbuB71mQ-X7dvproI" TargetMode="External"/><Relationship Id="rId24" Type="http://schemas.openxmlformats.org/officeDocument/2006/relationships/hyperlink" Target="https://drive.google.com/open?id=1ug6eZ53phR-nL-8g6DIXbVO5fba2z1cjunaRaFfUzaQ" TargetMode="External"/><Relationship Id="rId23" Type="http://schemas.openxmlformats.org/officeDocument/2006/relationships/hyperlink" Target="https://drive.google.com/drive/folders/1gb7IdeH1GR3Q6begl2yvm5sUxuqy-AkV" TargetMode="External"/><Relationship Id="rId26" Type="http://schemas.openxmlformats.org/officeDocument/2006/relationships/hyperlink" Target="https://drive.google.com/open?id=1WLHJAZ8a4S-19KBPx_jfOmY4lAIneISAHn5wRybT0GI" TargetMode="External"/><Relationship Id="rId25" Type="http://schemas.openxmlformats.org/officeDocument/2006/relationships/hyperlink" Target="https://drive.google.com/drive/folders/1KieUq8XC5Xo2H6dTx2JNCTxLnChNChRJ" TargetMode="External"/><Relationship Id="rId28" Type="http://schemas.openxmlformats.org/officeDocument/2006/relationships/hyperlink" Target="https://drive.google.com/open?id=1pKDefRl8-cdzrab8aOZIbVy4pfaPGt1_g-TEoJAQeAo" TargetMode="External"/><Relationship Id="rId27" Type="http://schemas.openxmlformats.org/officeDocument/2006/relationships/hyperlink" Target="https://drive.google.com/drive/folders/10EI66bvbebIvsKBTH9nDPdmFB0atbq64" TargetMode="External"/><Relationship Id="rId29" Type="http://schemas.openxmlformats.org/officeDocument/2006/relationships/hyperlink" Target="https://drive.google.com/drive/folders/1EIT5207426lWCpf6ql2olNKOLsp4yNXP" TargetMode="External"/><Relationship Id="rId11" Type="http://schemas.openxmlformats.org/officeDocument/2006/relationships/hyperlink" Target="https://drive.google.com/open?id=1J1S0BClAAUttR3m6O5yu9-zaP6LdqHph" TargetMode="External"/><Relationship Id="rId10" Type="http://schemas.openxmlformats.org/officeDocument/2006/relationships/hyperlink" Target="https://drive.google.com/open?id=1C4sG4o-XSQiEZ1BYl-jlqDd_vmO_NwDDmzpQr5Y0JMg" TargetMode="External"/><Relationship Id="rId13" Type="http://schemas.openxmlformats.org/officeDocument/2006/relationships/hyperlink" Target="https://drive.google.com/open?id=12lw8HTqNaFlWtlgPSM7ioumPHThhOjEj" TargetMode="External"/><Relationship Id="rId12" Type="http://schemas.openxmlformats.org/officeDocument/2006/relationships/hyperlink" Target="https://drive.google.com/open?id=1-MZ3pZe87f2q33s2jDhGTiRiSEjFZyQ8ZmzQjG_TdA0" TargetMode="External"/><Relationship Id="rId15" Type="http://schemas.openxmlformats.org/officeDocument/2006/relationships/hyperlink" Target="https://drive.google.com/open?id=1CucV7ljS-QkRm3qWYFtiH6SMNjZFacqw" TargetMode="External"/><Relationship Id="rId14" Type="http://schemas.openxmlformats.org/officeDocument/2006/relationships/hyperlink" Target="https://drive.google.com/open?id=13pRkV5c1MXLMR-C2tc6fVnAIFCZcWO9q4OI-d8XvHd4" TargetMode="External"/><Relationship Id="rId17" Type="http://schemas.openxmlformats.org/officeDocument/2006/relationships/hyperlink" Target="https://drive.google.com/open?id=1jpL9F7t-dQ4rVfUNGilEiRHeNLieeD-o" TargetMode="External"/><Relationship Id="rId16" Type="http://schemas.openxmlformats.org/officeDocument/2006/relationships/hyperlink" Target="https://drive.google.com/open?id=1PlWhOzS6t0DlieJsS45JVBomCCAiiwM2_n8mIBLqDJY" TargetMode="External"/><Relationship Id="rId19" Type="http://schemas.openxmlformats.org/officeDocument/2006/relationships/hyperlink" Target="https://drive.google.com/drive/folders/1pSK0hCQlAGxuso39aq602N2w3h7zX5zN" TargetMode="External"/><Relationship Id="rId18" Type="http://schemas.openxmlformats.org/officeDocument/2006/relationships/hyperlink" Target="https://drive.google.com/open?id=19mCfUTG4lsvplXzzjdXAXagIe6-9tydgrEHhrRm08Cc" TargetMode="External"/><Relationship Id="rId1" Type="http://schemas.openxmlformats.org/officeDocument/2006/relationships/hyperlink" Target="https://drive.google.com/drive/folders/1hltb0Q71UOW9MYdaOzdekyvRUg_KA4sd" TargetMode="External"/><Relationship Id="rId2" Type="http://schemas.openxmlformats.org/officeDocument/2006/relationships/hyperlink" Target="https://drive.google.com/open?id=1DnnbX5OkOjZRBPyY0DD7NfaDV7nbe0CAeEj9A7k0VH8" TargetMode="External"/><Relationship Id="rId3" Type="http://schemas.openxmlformats.org/officeDocument/2006/relationships/hyperlink" Target="https://drive.google.com/open?id=1uOg6_9i1kmz2FtbF6exPfiYp0z-9pnuM" TargetMode="External"/><Relationship Id="rId4" Type="http://schemas.openxmlformats.org/officeDocument/2006/relationships/hyperlink" Target="https://drive.google.com/open?id=1DnnbX5OkOjZRBPyY0DD7NfaDV7nbe0CAeEj9A7k0VH8" TargetMode="External"/><Relationship Id="rId9" Type="http://schemas.openxmlformats.org/officeDocument/2006/relationships/hyperlink" Target="https://drive.google.com/drive/folders/1Mv5tQSM2q6L1u7TfCY6L7YMoyGAExvii" TargetMode="External"/><Relationship Id="rId5" Type="http://schemas.openxmlformats.org/officeDocument/2006/relationships/hyperlink" Target="https://drive.google.com/drive/folders/1wqc1Hf-h0sxwher8qNilzrp0VpAws5N-" TargetMode="External"/><Relationship Id="rId6" Type="http://schemas.openxmlformats.org/officeDocument/2006/relationships/hyperlink" Target="https://drive.google.com/open?id=16N6ai03kcWxvoHeUsVy0PjIsMEGVnnTqQpDXtM9coww" TargetMode="External"/><Relationship Id="rId7" Type="http://schemas.openxmlformats.org/officeDocument/2006/relationships/hyperlink" Target="https://drive.google.com/drive/folders/1ZDLPv672eLkb4LdWOUt8NyIfDvOttlOr" TargetMode="External"/><Relationship Id="rId8" Type="http://schemas.openxmlformats.org/officeDocument/2006/relationships/hyperlink" Target="https://drive.google.com/open?id=1fNrQu29ySWaMOobVBCr-y7mwl_9QaZSGzgqZdgufSTY" TargetMode="External"/><Relationship Id="rId71" Type="http://schemas.openxmlformats.org/officeDocument/2006/relationships/drawing" Target="../drawings/drawing9.xml"/><Relationship Id="rId70" Type="http://schemas.openxmlformats.org/officeDocument/2006/relationships/hyperlink" Target="https://drive.google.com/open?id=1ajqhzbmaq43OZPg0yQT4qTTR47neKBOATHX3jMu1WTY" TargetMode="External"/><Relationship Id="rId62" Type="http://schemas.openxmlformats.org/officeDocument/2006/relationships/hyperlink" Target="https://drive.google.com/open?id=18G3CJXHkkbiLKz8HfptE5DGjroxj6eSAFDdtMlsYIz4" TargetMode="External"/><Relationship Id="rId61" Type="http://schemas.openxmlformats.org/officeDocument/2006/relationships/hyperlink" Target="https://drive.google.com/drive/folders/1ovwwHcYCJhKqjwz0Mm0g9XSilKB6HI_H" TargetMode="External"/><Relationship Id="rId64" Type="http://schemas.openxmlformats.org/officeDocument/2006/relationships/hyperlink" Target="https://drive.google.com/open?id=1TuSrBkj6t2UlQpuCB2KO84IAtZvnwrql_CPptARCtGg" TargetMode="External"/><Relationship Id="rId63" Type="http://schemas.openxmlformats.org/officeDocument/2006/relationships/hyperlink" Target="https://drive.google.com/drive/folders/1EE5CtmQ7lZtdSsbA0YL5px5xIi8cjXzK" TargetMode="External"/><Relationship Id="rId66" Type="http://schemas.openxmlformats.org/officeDocument/2006/relationships/hyperlink" Target="https://drive.google.com/open?id=1sbT6z6zDgZyURg1QMek_6tz8uEg7qFHkASjQPq-pePQ" TargetMode="External"/><Relationship Id="rId65" Type="http://schemas.openxmlformats.org/officeDocument/2006/relationships/hyperlink" Target="https://drive.google.com/drive/folders/1R3M3C0dc0h5M3tX80-6Kzgp5zC3Gxwko" TargetMode="External"/><Relationship Id="rId68" Type="http://schemas.openxmlformats.org/officeDocument/2006/relationships/hyperlink" Target="https://drive.google.com/open?id=1ajqhzbmaq43OZPg0yQT4qTTR47neKBOATHX3jMu1WTY" TargetMode="External"/><Relationship Id="rId67" Type="http://schemas.openxmlformats.org/officeDocument/2006/relationships/hyperlink" Target="https://drive.google.com/drive/folders/16tLr2FU7HB2d19Ked6DMexef0-jz2JNZ" TargetMode="External"/><Relationship Id="rId60" Type="http://schemas.openxmlformats.org/officeDocument/2006/relationships/hyperlink" Target="https://drive.google.com/open?id=1C6AGVsT0iRU7v8knb3NAnvZAGUZvBVDz4HYOmKpeT94" TargetMode="External"/><Relationship Id="rId69" Type="http://schemas.openxmlformats.org/officeDocument/2006/relationships/hyperlink" Target="https://drive.google.com/drive/folders/1_ekC-cAORs7LW1XAPijg7P7dgcQfMIIN" TargetMode="External"/><Relationship Id="rId51" Type="http://schemas.openxmlformats.org/officeDocument/2006/relationships/hyperlink" Target="https://drive.google.com/drive/folders/13YeLbIHejvE9Gs_J7KJNTBj7FcH3UB0V" TargetMode="External"/><Relationship Id="rId50" Type="http://schemas.openxmlformats.org/officeDocument/2006/relationships/hyperlink" Target="https://drive.google.com/open?id=1HswH502I1eYLbyf4NtncKWXgkVzGD9CFBE-sRKFHXQw" TargetMode="External"/><Relationship Id="rId53" Type="http://schemas.openxmlformats.org/officeDocument/2006/relationships/hyperlink" Target="https://drive.google.com/drive/folders/1m6RhiRFi8f7t7QHvE4eX5v3Ey7hVq3YS" TargetMode="External"/><Relationship Id="rId52" Type="http://schemas.openxmlformats.org/officeDocument/2006/relationships/hyperlink" Target="https://drive.google.com/open?id=1EvL9bVKLdcvHSVQhNB4PoCGyi_wW66TSTjXePNgYbpc" TargetMode="External"/><Relationship Id="rId55" Type="http://schemas.openxmlformats.org/officeDocument/2006/relationships/hyperlink" Target="https://drive.google.com/drive/folders/1dE9ozFTmLUgySdTKl5XscTLOjdsB-qYZ" TargetMode="External"/><Relationship Id="rId54" Type="http://schemas.openxmlformats.org/officeDocument/2006/relationships/hyperlink" Target="https://drive.google.com/open?id=16mHzbH9VSToSpHJaf2AvnTMiwnZHcAHD2c7bwG9hRB4" TargetMode="External"/><Relationship Id="rId57" Type="http://schemas.openxmlformats.org/officeDocument/2006/relationships/hyperlink" Target="https://drive.google.com/drive/folders/16pxsfcoyy-gBRuxtu2l2qlkMiJ_3Tuer" TargetMode="External"/><Relationship Id="rId56" Type="http://schemas.openxmlformats.org/officeDocument/2006/relationships/hyperlink" Target="https://drive.google.com/open?id=1KmbHUXdcV6yrq36A6RCwj-z2vwUGwE-Tet2xguyoE64" TargetMode="External"/><Relationship Id="rId59" Type="http://schemas.openxmlformats.org/officeDocument/2006/relationships/hyperlink" Target="https://drive.google.com/drive/folders/1k3yJR5ZxudOPpkUB50pev1GaL_ZHc9Aq" TargetMode="External"/><Relationship Id="rId58" Type="http://schemas.openxmlformats.org/officeDocument/2006/relationships/hyperlink" Target="https://drive.google.com/open?id=1Na4rSGlIJXMgKjILGGmAlcad6_bJJkjU6vDeECFNgYo" TargetMode="External"/></Relationships>
</file>

<file path=xl/worksheets/_rels/sheet10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file/d/1rHY-4K2t5oBrBufIbuB71mQ-X7dvproI/view" TargetMode="External"/><Relationship Id="rId10" Type="http://schemas.openxmlformats.org/officeDocument/2006/relationships/hyperlink" Target="https://docs.google.com/spreadsheets/d/1FYOMv6vxbAOjSB-6gGNOxrxAlOR5VnroyNcotDytOY4/edit" TargetMode="External"/><Relationship Id="rId13" Type="http://schemas.openxmlformats.org/officeDocument/2006/relationships/hyperlink" Target="https://drive.google.com/file/d/19IlcUxqMHKVnhrNnsOvgWakHwAcngV9n/view" TargetMode="External"/><Relationship Id="rId12" Type="http://schemas.openxmlformats.org/officeDocument/2006/relationships/hyperlink" Target="https://drive.google.com/file/d/1eSZ4Rblxf-1jzj2KsaBclcXNUyVIJADh/view" TargetMode="External"/><Relationship Id="rId15" Type="http://schemas.openxmlformats.org/officeDocument/2006/relationships/hyperlink" Target="https://drive.google.com/file/d/12ZN6ebVwCyKuZ3peGMcnW6m7sx0iOQKb/view" TargetMode="External"/><Relationship Id="rId14" Type="http://schemas.openxmlformats.org/officeDocument/2006/relationships/hyperlink" Target="https://drive.google.com/file/d/1L_ehzJbZg7gB5ylolMFdtaXb3ld0URPN/view" TargetMode="External"/><Relationship Id="rId16" Type="http://schemas.openxmlformats.org/officeDocument/2006/relationships/drawing" Target="../drawings/drawing10.xml"/><Relationship Id="rId1" Type="http://schemas.openxmlformats.org/officeDocument/2006/relationships/hyperlink" Target="https://docs.google.com/spreadsheets/d/1Tqh7eB_I3z-eP9FYMCPvNVclmR9VGXVaae0ZdRICy1g/edit" TargetMode="External"/><Relationship Id="rId2" Type="http://schemas.openxmlformats.org/officeDocument/2006/relationships/hyperlink" Target="https://docs.google.com/document/d/17wfpiu8bMXQkDnf78CtTCeDSycGpmAY_QPgCZKSeUOQ/edit" TargetMode="External"/><Relationship Id="rId3" Type="http://schemas.openxmlformats.org/officeDocument/2006/relationships/hyperlink" Target="https://drive.google.com/drive/folders/1t3OHKT4w5QwPYp_W-AEc2IhZc7BAl2ky" TargetMode="External"/><Relationship Id="rId4" Type="http://schemas.openxmlformats.org/officeDocument/2006/relationships/hyperlink" Target="https://drive.google.com/drive/folders/1pjCxD1gosscGc8zuf78Q9c349hQGJzPf" TargetMode="External"/><Relationship Id="rId9" Type="http://schemas.openxmlformats.org/officeDocument/2006/relationships/hyperlink" Target="https://drive.google.com/drive/folders/1PnJaf_kKZLH8ASUwAGSdKHAmZngSvWVj" TargetMode="External"/><Relationship Id="rId5" Type="http://schemas.openxmlformats.org/officeDocument/2006/relationships/hyperlink" Target="https://drive.google.com/drive/folders/19h6-BlCQowm9dsOB-6DgAy9qzgzxjint" TargetMode="External"/><Relationship Id="rId6" Type="http://schemas.openxmlformats.org/officeDocument/2006/relationships/hyperlink" Target="https://drive.google.com/drive/folders/1VCAoIrrLqc1jFWkhh5GWo4toSIbsXSxe" TargetMode="External"/><Relationship Id="rId7" Type="http://schemas.openxmlformats.org/officeDocument/2006/relationships/hyperlink" Target="https://drive.google.com/drive/folders/1fLx6y1hFpnCYrfDvvlEVz1HO2kDCWqS8" TargetMode="External"/><Relationship Id="rId8" Type="http://schemas.openxmlformats.org/officeDocument/2006/relationships/hyperlink" Target="https://drive.google.com/drive/folders/1DtpJZuQvlabCGgBm6GdmB9SfAK5Z0rg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8.0"/>
    <col customWidth="1" min="2" max="2" width="28.0"/>
    <col customWidth="1" min="3" max="7" width="18.0"/>
    <col customWidth="1" min="8" max="10" width="8.71"/>
  </cols>
  <sheetData>
    <row r="1" ht="31.5" customHeight="1">
      <c r="A1" s="2" t="s">
        <v>0</v>
      </c>
      <c r="B1" s="4"/>
      <c r="C1" s="4"/>
      <c r="D1" s="4"/>
      <c r="E1" s="4"/>
      <c r="F1" s="4"/>
      <c r="G1" s="6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9.5" customHeight="1">
      <c r="A3" s="10" t="s">
        <v>6</v>
      </c>
      <c r="B3" s="12" t="str">
        <f>TEXT(TODAY(),"dddd, MMMM DD, YYYY")</f>
        <v>Friday, August 07, 2026</v>
      </c>
      <c r="C3" s="3"/>
      <c r="D3" s="3"/>
      <c r="E3" s="3"/>
      <c r="F3" s="3"/>
      <c r="G3" s="3"/>
      <c r="H3" s="3"/>
      <c r="I3" s="3"/>
      <c r="J3" s="3">
        <f>MIN(MAX(5,5+FLOOR((TODAY()-DATE(2026,8,31))/7,1)),40)</f>
        <v>5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21.75" customHeight="1">
      <c r="A5" s="21" t="s">
        <v>42</v>
      </c>
      <c r="B5" s="4"/>
      <c r="C5" s="4"/>
      <c r="D5" s="4"/>
      <c r="E5" s="4"/>
      <c r="F5" s="4"/>
      <c r="G5" s="6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8.0" customHeight="1">
      <c r="A6" s="24"/>
      <c r="B6" s="24" t="s">
        <v>53</v>
      </c>
      <c r="C6" s="24" t="s">
        <v>54</v>
      </c>
      <c r="D6" s="24" t="s">
        <v>40</v>
      </c>
      <c r="E6" s="24" t="s">
        <v>57</v>
      </c>
      <c r="F6" s="24" t="s">
        <v>41</v>
      </c>
      <c r="G6" s="24" t="s">
        <v>59</v>
      </c>
      <c r="H6" s="3" t="s">
        <v>61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12.5" customHeight="1">
      <c r="A7" s="32" t="s">
        <v>67</v>
      </c>
      <c r="B7" s="41" t="str">
        <f t="array" ref="B7">IFERROR(HYPERLINK(IFERROR(LOOKUP(TODAY(),'Bio as List'!$I$4:$I$39,'Bio as List'!$J$4:$J$39),INDEX('Bio as List'!$J$4:$J$39,1)),"📄 Agenda ↗"),"📄 —")</f>
        <v>📄 Agenda ↗</v>
      </c>
      <c r="C7" s="45" t="str">
        <f t="array" ref="C7">INDEX('Year Grid'!F:F,$J$3)</f>
        <v>8/31
Syllabus · pretest · sign safety sheet · learn to submit Notes (short)</v>
      </c>
      <c r="D7" s="45"/>
      <c r="E7" s="45" t="str">
        <f t="array" ref="E7">INDEX('Year Grid'!G:G,$J$3)</f>
        <v>9/2
Lab Safety lecture · Lab Equipment activity · safety cartoon · learn to submit Drafts (long)
Notes.Introduction to Biology due 9/2</v>
      </c>
      <c r="F7" s="45"/>
      <c r="G7" s="45" t="str">
        <f t="array" ref="G7">INDEX('Year Grid'!H:H,$J$3)</f>
        <v>9/4
OFF — Schools Closed 9/4  (intro week: Notes only)</v>
      </c>
      <c r="H7" s="48" t="str">
        <f t="array" ref="H7">IFERROR(HYPERLINK(IFERROR(LOOKUP(TODAY(),'Bio as List'!$I$4:$I$39,'Bio as List'!$K$4:$K$39),INDEX('Bio as List'!$K$4:$K$39,1)),"🎞 VT ↗"),"🎞 —")</f>
        <v>🎞 VT ↗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12.5" customHeight="1">
      <c r="A8" s="49" t="s">
        <v>144</v>
      </c>
      <c r="B8" s="54" t="str">
        <f t="array" ref="B8">IFERROR(HYPERLINK(IFERROR(LOOKUP(TODAY(),'A&amp;P as List'!$H$4:$H$38,'A&amp;P as List'!$I$4:$I$38),INDEX('A&amp;P as List'!$I$4:$I$38,1)),"📄 Agenda ↗"),"📄 —")</f>
        <v>📄 Agenda ↗</v>
      </c>
      <c r="C8" s="55"/>
      <c r="D8" s="55" t="str">
        <f t="array" ref="D8">INDEX('Year Grid'!J:J,$J$3)</f>
        <v>9/1
Tue: Who Knew? (icebreaker) · Syllabus &amp; topics</v>
      </c>
      <c r="E8" s="55"/>
      <c r="F8" s="55" t="str">
        <f t="array" ref="F8">INDEX('Year Grid'!K:K,$J$3)</f>
        <v>9/3
Thu: Body Parts Chalk Outline · Academic Integrity
+ Bioethics Intro Case (discussion) · Hippocratic Oath (moved from Fri 9/4 — closed)</v>
      </c>
      <c r="G8" s="55" t="str">
        <f t="array" ref="G8">INDEX('Year Grid'!L:L,$J$3)</f>
        <v>9/4
OFF — Schools Closed</v>
      </c>
      <c r="H8" s="3" t="str">
        <f t="array" ref="H8">IFERROR(HYPERLINK(IFERROR(LOOKUP(TODAY(),'A&amp;P as List'!$H$4:$H$38,'A&amp;P as List'!$J$4:$J$38),INDEX('A&amp;P as List'!$J$4:$J$38,1)),"🎞 VT ↗"),"🎞 —")</f>
        <v>🎞 VT ↗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12.5" customHeight="1">
      <c r="A9" s="59" t="s">
        <v>220</v>
      </c>
      <c r="B9" s="62" t="str">
        <f t="array" ref="B9">IFERROR(HYPERLINK(IFERROR(LOOKUP(TODAY(),'Forensics as List'!$H$4:$H$38,'Forensics as List'!$I$4:$I$38),INDEX('Forensics as List'!$I$4:$I$38,1)),"📄 Agenda ↗"),"📄 —")</f>
        <v>📄 Agenda ↗</v>
      </c>
      <c r="C9" s="66" t="str">
        <f t="array" ref="C9">INDEX('Year Grid'!N:N,$J$3)</f>
        <v>8/31
First day — rules &amp; procedures</v>
      </c>
      <c r="D9" s="66"/>
      <c r="E9" s="66" t="str">
        <f t="array" ref="E9">INDEX('Year Grid'!O:O,$J$3)</f>
        <v>9/2
Syllabus + intro to forensic science</v>
      </c>
      <c r="F9" s="66"/>
      <c r="G9" s="66" t="str">
        <f t="array" ref="G9">INDEX('Year Grid'!P:P,$J$3)</f>
        <v>9/4
Course overview / intro activity</v>
      </c>
      <c r="H9" s="48" t="str">
        <f t="array" ref="H9">IFERROR(HYPERLINK(IFERROR(LOOKUP(TODAY(),'Forensics as List'!$H$4:$H$38,'Forensics as List'!$J$4:$J$38),INDEX('Forensics as List'!$J$4:$J$38,1)),"🎞 VT ↗"),"🎞 —")</f>
        <v>🎞 VT ↗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97.5" customHeight="1">
      <c r="A10" s="70"/>
      <c r="B10" s="71"/>
      <c r="C10" s="72" t="str">
        <f t="array" ref="C10">INDEX('Year Task Grid'!C:C,$J$3)</f>
        <v>WilmU attendance + grading</v>
      </c>
      <c r="D10" s="72" t="str">
        <f t="array" ref="D10">INDEX('Year Task Grid'!D:D,$J$3)</f>
        <v>Deep work (your choice)</v>
      </c>
      <c r="E10" s="72" t="str">
        <f t="array" ref="E10">INDEX('Year Task Grid'!E:E,$J$3)</f>
        <v>Deep work (your choice)</v>
      </c>
      <c r="F10" s="72" t="str">
        <f t="array" ref="F10">INDEX('Year Task Grid'!F:F,$J$3)</f>
        <v> Review Wk 02: Ecosystems &amp; Change / Introduction to Anatomy / Forensics: Lab Safety, Equipment &amp; the Microscope → see Review Links tab</v>
      </c>
      <c r="G10" s="72" t="str">
        <f t="array" ref="G10">INDEX('Year Task Grid'!G:G,$J$3)</f>
        <v>OFF — Schools Closed 9/4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0" customHeight="1">
      <c r="A11" s="74"/>
      <c r="B11" s="75"/>
      <c r="C11" s="75"/>
      <c r="D11" s="75"/>
      <c r="E11" s="75"/>
      <c r="F11" s="75"/>
      <c r="G11" s="76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0" customHeight="1">
      <c r="A12" s="77"/>
      <c r="G12" s="78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0" customHeight="1">
      <c r="A13" s="77"/>
      <c r="G13" s="78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0" customHeight="1">
      <c r="A14" s="77"/>
      <c r="G14" s="78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0" customHeight="1">
      <c r="A15" s="77"/>
      <c r="G15" s="78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0" customHeight="1">
      <c r="A16" s="77"/>
      <c r="G16" s="78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0" customHeight="1">
      <c r="A17" s="79"/>
      <c r="B17" s="80"/>
      <c r="C17" s="80"/>
      <c r="D17" s="80"/>
      <c r="E17" s="80"/>
      <c r="F17" s="80"/>
      <c r="G17" s="81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3">
    <mergeCell ref="A1:G1"/>
    <mergeCell ref="A5:G5"/>
    <mergeCell ref="A11:G17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6.0"/>
    <col customWidth="1" min="2" max="2" width="5.0"/>
    <col customWidth="1" min="3" max="3" width="22.0"/>
    <col customWidth="1" min="4" max="4" width="20.0"/>
    <col customWidth="1" min="5" max="5" width="38.0"/>
    <col customWidth="1" min="6" max="8" width="25.86"/>
    <col customWidth="1" min="9" max="9" width="32.0"/>
    <col customWidth="1" min="10" max="12" width="25.86"/>
    <col customWidth="1" min="13" max="13" width="32.0"/>
    <col customWidth="1" min="14" max="16" width="22.86"/>
  </cols>
  <sheetData>
    <row r="1" ht="25.5" customHeight="1">
      <c r="A1" s="5" t="s">
        <v>3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6"/>
      <c r="Q1" s="3"/>
      <c r="R1" s="3"/>
      <c r="S1" s="3"/>
      <c r="T1" s="3"/>
      <c r="U1" s="3"/>
      <c r="V1" s="3"/>
    </row>
    <row r="2" ht="21.75" customHeight="1">
      <c r="A2" s="8" t="s">
        <v>4</v>
      </c>
      <c r="B2" s="4"/>
      <c r="C2" s="4"/>
      <c r="D2" s="6"/>
      <c r="E2" s="11" t="s">
        <v>8</v>
      </c>
      <c r="F2" s="4"/>
      <c r="G2" s="4"/>
      <c r="H2" s="6"/>
      <c r="I2" s="13" t="s">
        <v>15</v>
      </c>
      <c r="J2" s="4"/>
      <c r="K2" s="4"/>
      <c r="L2" s="6"/>
      <c r="M2" s="14" t="s">
        <v>16</v>
      </c>
      <c r="N2" s="4"/>
      <c r="O2" s="4"/>
      <c r="P2" s="6"/>
      <c r="Q2" s="3"/>
      <c r="R2" s="3"/>
      <c r="S2" s="3"/>
      <c r="T2" s="3"/>
      <c r="U2" s="3"/>
      <c r="V2" s="3"/>
    </row>
    <row r="3" ht="30.0" customHeight="1">
      <c r="A3" s="17" t="s">
        <v>21</v>
      </c>
      <c r="B3" s="17" t="s">
        <v>24</v>
      </c>
      <c r="C3" s="17" t="s">
        <v>23</v>
      </c>
      <c r="D3" s="17" t="s">
        <v>27</v>
      </c>
      <c r="E3" s="19" t="s">
        <v>30</v>
      </c>
      <c r="F3" s="20" t="s">
        <v>34</v>
      </c>
      <c r="G3" s="20" t="s">
        <v>36</v>
      </c>
      <c r="H3" s="20" t="s">
        <v>38</v>
      </c>
      <c r="I3" s="19" t="s">
        <v>39</v>
      </c>
      <c r="J3" s="20" t="s">
        <v>40</v>
      </c>
      <c r="K3" s="20" t="s">
        <v>41</v>
      </c>
      <c r="L3" s="20" t="s">
        <v>38</v>
      </c>
      <c r="M3" s="19" t="s">
        <v>43</v>
      </c>
      <c r="N3" s="20" t="s">
        <v>34</v>
      </c>
      <c r="O3" s="20" t="s">
        <v>36</v>
      </c>
      <c r="P3" s="20" t="s">
        <v>44</v>
      </c>
      <c r="Q3" s="3"/>
      <c r="R3" s="3"/>
      <c r="S3" s="3"/>
      <c r="T3" s="3"/>
      <c r="U3" s="3"/>
      <c r="V3" s="3"/>
    </row>
    <row r="4" ht="15.75" customHeight="1">
      <c r="A4" s="27" t="s">
        <v>49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33"/>
      <c r="Q4" s="3"/>
      <c r="R4" s="3"/>
      <c r="S4" s="3"/>
      <c r="T4" s="3"/>
      <c r="U4" s="3"/>
      <c r="V4" s="3"/>
    </row>
    <row r="5" ht="71.25" customHeight="1">
      <c r="A5" s="34" t="s">
        <v>73</v>
      </c>
      <c r="B5" s="35" t="s">
        <v>79</v>
      </c>
      <c r="C5" s="36" t="s">
        <v>82</v>
      </c>
      <c r="D5" s="37" t="s">
        <v>84</v>
      </c>
      <c r="E5" s="39" t="str">
        <f>HYPERLINK("https://drive.google.com/drive/folders/1Dl_UEI3IaVyiebXUyEZmHNpWExA5H9uT","◆ Cycle 01 · Course Launch &amp; Lab Safety
Introduction to Biology (Syllabus · Lab Safety · Lab Equipment · Characteristics of Life · Microscope)
VT 
Folder")</f>
        <v>◆ Cycle 01 · Course Launch &amp; Lab Safety
Introduction to Biology (Syllabus · Lab Safety · Lab Equipment · Characteristics of Life · Microscope)
VT 
Folder</v>
      </c>
      <c r="F5" s="40" t="s">
        <v>89</v>
      </c>
      <c r="G5" s="40" t="s">
        <v>93</v>
      </c>
      <c r="H5" s="42" t="s">
        <v>96</v>
      </c>
      <c r="I5" s="43" t="s">
        <v>102</v>
      </c>
      <c r="J5" s="44" t="s">
        <v>104</v>
      </c>
      <c r="K5" s="40" t="s">
        <v>105</v>
      </c>
      <c r="L5" s="40" t="s">
        <v>106</v>
      </c>
      <c r="M5" s="46" t="s">
        <v>107</v>
      </c>
      <c r="N5" s="40" t="s">
        <v>126</v>
      </c>
      <c r="O5" s="40" t="s">
        <v>128</v>
      </c>
      <c r="P5" s="47" t="s">
        <v>131</v>
      </c>
      <c r="Q5" s="3"/>
      <c r="R5" s="3"/>
      <c r="S5" s="3"/>
      <c r="T5" s="3"/>
      <c r="U5" s="3"/>
      <c r="V5" s="3"/>
    </row>
    <row r="6" ht="71.25" customHeight="1">
      <c r="A6" s="34" t="s">
        <v>136</v>
      </c>
      <c r="B6" s="35" t="s">
        <v>79</v>
      </c>
      <c r="C6" s="36" t="s">
        <v>137</v>
      </c>
      <c r="D6" s="37"/>
      <c r="E6" s="39" t="str">
        <f>HYPERLINK("https://drive.google.com/drive/folders/1D3n02wUGdTlje3GsH52JYRRbNN_KRCYv","◆ Cycle 02 · Ecosystems &amp; Feeding
Ecosystems &amp; Change (Introduction to Ecology VT)
VT
Folder")</f>
        <v>◆ Cycle 02 · Ecosystems &amp; Feeding
Ecosystems &amp; Change (Introduction to Ecology VT)
VT
Folder</v>
      </c>
      <c r="F6" s="50" t="s">
        <v>147</v>
      </c>
      <c r="G6" s="51" t="s">
        <v>148</v>
      </c>
      <c r="H6" s="52" t="s">
        <v>152</v>
      </c>
      <c r="I6" s="53" t="s">
        <v>154</v>
      </c>
      <c r="J6" s="47" t="s">
        <v>159</v>
      </c>
      <c r="K6" s="40" t="s">
        <v>162</v>
      </c>
      <c r="L6" s="40" t="s">
        <v>163</v>
      </c>
      <c r="M6" s="46" t="s">
        <v>165</v>
      </c>
      <c r="N6" s="47" t="s">
        <v>176</v>
      </c>
      <c r="O6" s="40" t="s">
        <v>178</v>
      </c>
      <c r="P6" s="40" t="s">
        <v>179</v>
      </c>
      <c r="Q6" s="3"/>
      <c r="R6" s="3"/>
      <c r="S6" s="3"/>
      <c r="T6" s="3"/>
      <c r="U6" s="3"/>
      <c r="V6" s="3"/>
    </row>
    <row r="7" ht="71.25" customHeight="1">
      <c r="A7" s="34" t="s">
        <v>18</v>
      </c>
      <c r="B7" s="35" t="s">
        <v>79</v>
      </c>
      <c r="C7" s="36" t="s">
        <v>182</v>
      </c>
      <c r="D7" s="37"/>
      <c r="E7" s="56" t="s">
        <v>183</v>
      </c>
      <c r="F7" s="57" t="s">
        <v>191</v>
      </c>
      <c r="G7" s="57" t="s">
        <v>192</v>
      </c>
      <c r="H7" s="58" t="s">
        <v>193</v>
      </c>
      <c r="I7" s="43" t="s">
        <v>194</v>
      </c>
      <c r="J7" s="40" t="s">
        <v>196</v>
      </c>
      <c r="K7" s="47" t="s">
        <v>198</v>
      </c>
      <c r="L7" s="40" t="s">
        <v>199</v>
      </c>
      <c r="M7" s="46" t="s">
        <v>200</v>
      </c>
      <c r="N7" s="40" t="s">
        <v>208</v>
      </c>
      <c r="O7" s="40" t="s">
        <v>210</v>
      </c>
      <c r="P7" s="40" t="s">
        <v>211</v>
      </c>
      <c r="Q7" s="3"/>
      <c r="R7" s="3"/>
      <c r="S7" s="3"/>
      <c r="T7" s="3"/>
      <c r="U7" s="3"/>
      <c r="V7" s="3"/>
    </row>
    <row r="8" ht="71.25" customHeight="1">
      <c r="A8" s="34" t="s">
        <v>55</v>
      </c>
      <c r="B8" s="35" t="s">
        <v>79</v>
      </c>
      <c r="C8" s="36" t="s">
        <v>216</v>
      </c>
      <c r="D8" s="37"/>
      <c r="E8" s="39" t="str">
        <f>HYPERLINK("https://drive.google.com/drive/folders/1CZGfr19RTWJlHZBvydbMpc3twyDwxAq3","◆ Cycle 03 · Energy Flow
Energy Flow (Energy Flow Lesson VT)
VT
Folder")</f>
        <v>◆ Cycle 03 · Energy Flow
Energy Flow (Energy Flow Lesson VT)
VT
Folder</v>
      </c>
      <c r="F8" s="60" t="s">
        <v>224</v>
      </c>
      <c r="G8" s="61" t="s">
        <v>227</v>
      </c>
      <c r="H8" s="40" t="s">
        <v>229</v>
      </c>
      <c r="I8" s="43" t="s">
        <v>231</v>
      </c>
      <c r="J8" s="47" t="s">
        <v>233</v>
      </c>
      <c r="K8" s="40" t="s">
        <v>234</v>
      </c>
      <c r="L8" s="40" t="s">
        <v>235</v>
      </c>
      <c r="M8" s="46" t="s">
        <v>237</v>
      </c>
      <c r="N8" s="47" t="s">
        <v>242</v>
      </c>
      <c r="O8" s="40" t="s">
        <v>243</v>
      </c>
      <c r="P8" s="40" t="s">
        <v>245</v>
      </c>
      <c r="Q8" s="3"/>
      <c r="R8" s="3"/>
      <c r="S8" s="3"/>
      <c r="T8" s="3"/>
      <c r="U8" s="3"/>
      <c r="V8" s="3"/>
    </row>
    <row r="9" ht="71.25" customHeight="1">
      <c r="A9" s="63" t="s">
        <v>248</v>
      </c>
      <c r="B9" s="64" t="s">
        <v>79</v>
      </c>
      <c r="C9" s="65" t="s">
        <v>141</v>
      </c>
      <c r="D9" s="37"/>
      <c r="E9" s="67" t="str">
        <f>HYPERLINK("https://drive.google.com/drive/folders/1_7LjuC8A4GmfR9bNk_4h8Fcvgc1uONsR","◆ Cycle 04 · Carbon Cycle
Biogeochemical Cycles (Biogeochemical Cycles Lesson)
VT
Folder")</f>
        <v>◆ Cycle 04 · Carbon Cycle
Biogeochemical Cycles (Biogeochemical Cycles Lesson)
VT
Folder</v>
      </c>
      <c r="F9" s="40" t="s">
        <v>257</v>
      </c>
      <c r="G9" s="40" t="s">
        <v>258</v>
      </c>
      <c r="H9" s="40" t="s">
        <v>259</v>
      </c>
      <c r="I9" s="68" t="s">
        <v>260</v>
      </c>
      <c r="J9" s="40" t="s">
        <v>261</v>
      </c>
      <c r="K9" s="40" t="s">
        <v>263</v>
      </c>
      <c r="L9" s="40" t="s">
        <v>265</v>
      </c>
      <c r="M9" s="69" t="s">
        <v>266</v>
      </c>
      <c r="N9" s="40" t="s">
        <v>273</v>
      </c>
      <c r="O9" s="40" t="s">
        <v>277</v>
      </c>
      <c r="P9" s="40" t="s">
        <v>278</v>
      </c>
      <c r="Q9" s="3"/>
      <c r="R9" s="3"/>
      <c r="S9" s="3"/>
      <c r="T9" s="3"/>
      <c r="U9" s="3"/>
      <c r="V9" s="3"/>
    </row>
    <row r="10" ht="71.25" customHeight="1">
      <c r="A10" s="63" t="s">
        <v>69</v>
      </c>
      <c r="B10" s="64" t="s">
        <v>79</v>
      </c>
      <c r="C10" s="65" t="s">
        <v>160</v>
      </c>
      <c r="D10" s="37"/>
      <c r="E10" s="67" t="str">
        <f>HYPERLINK("https://drive.google.com/drive/folders/11BNokJq2E4wFOfR2-uTrHxNZ8iO6C3pb","◆ Cycle 05 · Photosynthesis
Photosynthesis (Photosynthesis Lesson VT)
VT
Folder")</f>
        <v>◆ Cycle 05 · Photosynthesis
Photosynthesis (Photosynthesis Lesson VT)
VT
Folder</v>
      </c>
      <c r="F10" s="40" t="s">
        <v>287</v>
      </c>
      <c r="G10" s="40" t="s">
        <v>288</v>
      </c>
      <c r="H10" s="40" t="s">
        <v>289</v>
      </c>
      <c r="I10" s="68" t="s">
        <v>290</v>
      </c>
      <c r="J10" s="40" t="s">
        <v>291</v>
      </c>
      <c r="K10" s="40" t="s">
        <v>293</v>
      </c>
      <c r="L10" s="40" t="s">
        <v>294</v>
      </c>
      <c r="M10" s="69" t="s">
        <v>296</v>
      </c>
      <c r="N10" s="40" t="s">
        <v>300</v>
      </c>
      <c r="O10" s="40" t="s">
        <v>301</v>
      </c>
      <c r="P10" s="40" t="s">
        <v>302</v>
      </c>
      <c r="Q10" s="3"/>
      <c r="R10" s="3"/>
      <c r="S10" s="3"/>
      <c r="T10" s="3"/>
      <c r="U10" s="3"/>
      <c r="V10" s="3"/>
    </row>
    <row r="11" ht="71.25" customHeight="1">
      <c r="A11" s="63" t="s">
        <v>303</v>
      </c>
      <c r="B11" s="64" t="s">
        <v>79</v>
      </c>
      <c r="C11" s="65" t="s">
        <v>305</v>
      </c>
      <c r="D11" s="37"/>
      <c r="E11" s="67" t="str">
        <f>HYPERLINK("https://drive.google.com/drive/folders/1BnHejNBE_rJiRkDlK-VrlYY78sTLEhBe","◆ Cycle 06 · Respiration &amp; Fermentation
Cellular Respiration (Cellular Respiration VT)
VT
Folder")</f>
        <v>◆ Cycle 06 · Respiration &amp; Fermentation
Cellular Respiration (Cellular Respiration VT)
VT
Folder</v>
      </c>
      <c r="F11" s="40" t="s">
        <v>312</v>
      </c>
      <c r="G11" s="40" t="s">
        <v>314</v>
      </c>
      <c r="H11" s="73" t="s">
        <v>316</v>
      </c>
      <c r="I11" s="68" t="s">
        <v>317</v>
      </c>
      <c r="J11" s="40" t="s">
        <v>320</v>
      </c>
      <c r="K11" s="40" t="s">
        <v>321</v>
      </c>
      <c r="L11" s="40" t="s">
        <v>316</v>
      </c>
      <c r="M11" s="69" t="s">
        <v>323</v>
      </c>
      <c r="N11" s="40" t="s">
        <v>327</v>
      </c>
      <c r="O11" s="40" t="s">
        <v>328</v>
      </c>
      <c r="P11" s="73" t="s">
        <v>316</v>
      </c>
      <c r="Q11" s="3"/>
      <c r="R11" s="3"/>
      <c r="S11" s="3"/>
      <c r="T11" s="3"/>
      <c r="U11" s="3"/>
      <c r="V11" s="3"/>
    </row>
    <row r="12" ht="71.25" customHeight="1">
      <c r="A12" s="63" t="s">
        <v>91</v>
      </c>
      <c r="B12" s="64" t="s">
        <v>79</v>
      </c>
      <c r="C12" s="65" t="s">
        <v>181</v>
      </c>
      <c r="D12" s="37"/>
      <c r="E12" s="67" t="str">
        <f>HYPERLINK("https://drive.google.com/drive/folders/1BnHejNBE_rJiRkDlK-VrlYY78sTLEhBe","◆ Cycle 06 · Respiration &amp; Fermentation
Fermentation (Fermentation Lesson VT)
VT
Folder")</f>
        <v>◆ Cycle 06 · Respiration &amp; Fermentation
Fermentation (Fermentation Lesson VT)
VT
Folder</v>
      </c>
      <c r="F12" s="40" t="s">
        <v>338</v>
      </c>
      <c r="G12" s="40" t="s">
        <v>339</v>
      </c>
      <c r="H12" s="40" t="s">
        <v>340</v>
      </c>
      <c r="I12" s="68" t="s">
        <v>341</v>
      </c>
      <c r="J12" s="40" t="s">
        <v>342</v>
      </c>
      <c r="K12" s="40" t="s">
        <v>343</v>
      </c>
      <c r="L12" s="40" t="s">
        <v>344</v>
      </c>
      <c r="M12" s="69" t="s">
        <v>345</v>
      </c>
      <c r="N12" s="40" t="s">
        <v>348</v>
      </c>
      <c r="O12" s="40" t="s">
        <v>351</v>
      </c>
      <c r="P12" s="40" t="s">
        <v>352</v>
      </c>
      <c r="Q12" s="3"/>
      <c r="R12" s="3"/>
      <c r="S12" s="3"/>
      <c r="T12" s="3"/>
      <c r="U12" s="3"/>
      <c r="V12" s="3"/>
    </row>
    <row r="13" ht="71.25" customHeight="1">
      <c r="A13" s="63" t="s">
        <v>355</v>
      </c>
      <c r="B13" s="64" t="s">
        <v>79</v>
      </c>
      <c r="C13" s="65" t="s">
        <v>197</v>
      </c>
      <c r="D13" s="37"/>
      <c r="E13" s="67" t="str">
        <f>HYPERLINK("https://drive.google.com/drive/folders/18rj5qQxduYLHo1zZ5VLm_JrCjS4Oj2UO","◆ Cycle 07 · Ecosystem Dynamics
Ecological Succession (Ecological Succession VT)
VT
Folder")</f>
        <v>◆ Cycle 07 · Ecosystem Dynamics
Ecological Succession (Ecological Succession VT)
VT
Folder</v>
      </c>
      <c r="F13" s="40" t="s">
        <v>358</v>
      </c>
      <c r="G13" s="40" t="s">
        <v>359</v>
      </c>
      <c r="H13" s="40" t="s">
        <v>361</v>
      </c>
      <c r="I13" s="68" t="s">
        <v>362</v>
      </c>
      <c r="J13" s="40" t="s">
        <v>365</v>
      </c>
      <c r="K13" s="40" t="s">
        <v>367</v>
      </c>
      <c r="L13" s="40" t="s">
        <v>369</v>
      </c>
      <c r="M13" s="69" t="s">
        <v>371</v>
      </c>
      <c r="N13" s="40" t="s">
        <v>374</v>
      </c>
      <c r="O13" s="40" t="s">
        <v>375</v>
      </c>
      <c r="P13" s="40" t="s">
        <v>377</v>
      </c>
      <c r="Q13" s="3"/>
      <c r="R13" s="3"/>
      <c r="S13" s="3"/>
      <c r="T13" s="3"/>
      <c r="U13" s="3"/>
      <c r="V13" s="3"/>
    </row>
    <row r="14" ht="71.25" customHeight="1">
      <c r="A14" s="82" t="s">
        <v>381</v>
      </c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33"/>
      <c r="Q14" s="3"/>
      <c r="R14" s="3"/>
      <c r="S14" s="3"/>
      <c r="T14" s="3"/>
      <c r="U14" s="3"/>
      <c r="V14" s="3"/>
    </row>
    <row r="15" ht="71.25" customHeight="1">
      <c r="A15" s="83" t="s">
        <v>386</v>
      </c>
      <c r="B15" s="84" t="s">
        <v>389</v>
      </c>
      <c r="C15" s="85" t="s">
        <v>392</v>
      </c>
      <c r="D15" s="37"/>
      <c r="E15" s="67" t="str">
        <f>HYPERLINK("https://drive.google.com/drive/folders/18rj5qQxduYLHo1zZ5VLm_JrCjS4Oj2UO","◆ Cycle 07 · Ecosystem Dynamics
Population Ecology (Population Ecology VT · HHMI Population Dynamics)
VT
Folder")</f>
        <v>◆ Cycle 07 · Ecosystem Dynamics
Population Ecology (Population Ecology VT · HHMI Population Dynamics)
VT
Folder</v>
      </c>
      <c r="F15" s="40" t="s">
        <v>397</v>
      </c>
      <c r="G15" s="40" t="s">
        <v>398</v>
      </c>
      <c r="H15" s="73" t="s">
        <v>400</v>
      </c>
      <c r="I15" s="68" t="s">
        <v>401</v>
      </c>
      <c r="J15" s="40" t="s">
        <v>403</v>
      </c>
      <c r="K15" s="40" t="s">
        <v>405</v>
      </c>
      <c r="L15" s="40"/>
      <c r="M15" s="69" t="s">
        <v>407</v>
      </c>
      <c r="N15" s="40" t="s">
        <v>411</v>
      </c>
      <c r="O15" s="40" t="s">
        <v>414</v>
      </c>
      <c r="P15" s="73" t="s">
        <v>416</v>
      </c>
      <c r="Q15" s="3"/>
      <c r="R15" s="3"/>
      <c r="S15" s="3"/>
      <c r="T15" s="3"/>
      <c r="U15" s="3"/>
      <c r="V15" s="3"/>
    </row>
    <row r="16" ht="71.25" customHeight="1">
      <c r="A16" s="83" t="s">
        <v>117</v>
      </c>
      <c r="B16" s="84" t="s">
        <v>389</v>
      </c>
      <c r="C16" s="85" t="s">
        <v>421</v>
      </c>
      <c r="D16" s="37"/>
      <c r="E16" s="67" t="str">
        <f>HYPERLINK("https://drive.google.com/drive/folders/1ozCBpU95YpTaRSw14x4-u4Nlmci2ZTAq","◆ Cycle 08 · Cells &amp; Organelles
Intro to Cells (Intro to Cells VT · Learn.Genetics Cell Size &amp; Scale)
VT
Folder")</f>
        <v>◆ Cycle 08 · Cells &amp; Organelles
Intro to Cells (Intro to Cells VT · Learn.Genetics Cell Size &amp; Scale)
VT
Folder</v>
      </c>
      <c r="F16" s="40" t="s">
        <v>426</v>
      </c>
      <c r="G16" s="47" t="s">
        <v>428</v>
      </c>
      <c r="H16" s="40" t="s">
        <v>430</v>
      </c>
      <c r="I16" s="68" t="s">
        <v>432</v>
      </c>
      <c r="J16" s="40" t="s">
        <v>433</v>
      </c>
      <c r="K16" s="40" t="s">
        <v>435</v>
      </c>
      <c r="L16" s="47" t="s">
        <v>437</v>
      </c>
      <c r="M16" s="69" t="s">
        <v>439</v>
      </c>
      <c r="N16" s="40" t="s">
        <v>446</v>
      </c>
      <c r="O16" s="47" t="s">
        <v>428</v>
      </c>
      <c r="P16" s="40" t="s">
        <v>448</v>
      </c>
      <c r="Q16" s="3"/>
      <c r="R16" s="3"/>
      <c r="S16" s="3"/>
      <c r="T16" s="3"/>
      <c r="U16" s="3"/>
      <c r="V16" s="3"/>
    </row>
    <row r="17" ht="71.25" customHeight="1">
      <c r="A17" s="83" t="s">
        <v>127</v>
      </c>
      <c r="B17" s="84" t="s">
        <v>389</v>
      </c>
      <c r="C17" s="85" t="s">
        <v>241</v>
      </c>
      <c r="D17" s="37"/>
      <c r="E17" s="67" t="str">
        <f>HYPERLINK("https://drive.google.com/drive/folders/1ozCBpU95YpTaRSw14x4-u4Nlmci2ZTAq","◆ Cycle 08 · Cells &amp; Organelles
Cell Organelles (Cell Organelles VT · BioMan Cell Explorer)
VT
Folder")</f>
        <v>◆ Cycle 08 · Cells &amp; Organelles
Cell Organelles (Cell Organelles VT · BioMan Cell Explorer)
VT
Folder</v>
      </c>
      <c r="F17" s="40" t="s">
        <v>458</v>
      </c>
      <c r="G17" s="40" t="s">
        <v>459</v>
      </c>
      <c r="H17" s="40" t="s">
        <v>462</v>
      </c>
      <c r="I17" s="68" t="s">
        <v>464</v>
      </c>
      <c r="J17" s="40" t="s">
        <v>467</v>
      </c>
      <c r="K17" s="40" t="s">
        <v>469</v>
      </c>
      <c r="L17" s="40" t="s">
        <v>470</v>
      </c>
      <c r="M17" s="69" t="s">
        <v>471</v>
      </c>
      <c r="N17" s="40" t="s">
        <v>474</v>
      </c>
      <c r="O17" s="40" t="s">
        <v>475</v>
      </c>
      <c r="P17" s="40" t="s">
        <v>477</v>
      </c>
      <c r="Q17" s="3"/>
      <c r="R17" s="3"/>
      <c r="S17" s="3"/>
      <c r="T17" s="3"/>
      <c r="U17" s="3"/>
      <c r="V17" s="3"/>
    </row>
    <row r="18" ht="71.25" customHeight="1">
      <c r="A18" s="86" t="s">
        <v>480</v>
      </c>
      <c r="B18" s="86" t="s">
        <v>389</v>
      </c>
      <c r="C18" s="87" t="s">
        <v>483</v>
      </c>
      <c r="D18" s="37"/>
      <c r="E18" s="88" t="s">
        <v>484</v>
      </c>
      <c r="F18" s="47" t="s">
        <v>488</v>
      </c>
      <c r="G18" s="47" t="s">
        <v>490</v>
      </c>
      <c r="H18" s="47" t="s">
        <v>491</v>
      </c>
      <c r="I18" s="89" t="s">
        <v>492</v>
      </c>
      <c r="J18" s="47" t="s">
        <v>493</v>
      </c>
      <c r="K18" s="47" t="s">
        <v>494</v>
      </c>
      <c r="L18" s="47" t="s">
        <v>491</v>
      </c>
      <c r="M18" s="90" t="s">
        <v>495</v>
      </c>
      <c r="N18" s="47" t="s">
        <v>488</v>
      </c>
      <c r="O18" s="47" t="s">
        <v>490</v>
      </c>
      <c r="P18" s="47" t="s">
        <v>491</v>
      </c>
      <c r="Q18" s="3"/>
      <c r="R18" s="3"/>
      <c r="S18" s="3"/>
      <c r="T18" s="3"/>
      <c r="U18" s="3"/>
      <c r="V18" s="3"/>
    </row>
    <row r="19" ht="71.25" customHeight="1">
      <c r="A19" s="83" t="s">
        <v>138</v>
      </c>
      <c r="B19" s="84" t="s">
        <v>389</v>
      </c>
      <c r="C19" s="85" t="s">
        <v>264</v>
      </c>
      <c r="D19" s="37"/>
      <c r="E19" s="67" t="str">
        <f>HYPERLINK("https://drive.google.com/drive/folders/1BsqqCAa467Hs8Rkaenoa1z7kZT84_1Mo","◆ Cycle 09 · Membrane &amp; Transport
Cell Membrane (Cell Membrane Lesson · BioMan Cell Defense)
VT
Folder")</f>
        <v>◆ Cycle 09 · Membrane &amp; Transport
Cell Membrane (Cell Membrane Lesson · BioMan Cell Defense)
VT
Folder</v>
      </c>
      <c r="F19" s="73" t="s">
        <v>503</v>
      </c>
      <c r="G19" s="40" t="s">
        <v>504</v>
      </c>
      <c r="H19" s="40" t="s">
        <v>505</v>
      </c>
      <c r="I19" s="68" t="s">
        <v>507</v>
      </c>
      <c r="J19" s="73" t="s">
        <v>509</v>
      </c>
      <c r="K19" s="40" t="s">
        <v>510</v>
      </c>
      <c r="L19" s="40" t="s">
        <v>511</v>
      </c>
      <c r="M19" s="69" t="s">
        <v>512</v>
      </c>
      <c r="N19" s="73" t="s">
        <v>515</v>
      </c>
      <c r="O19" s="40" t="s">
        <v>517</v>
      </c>
      <c r="P19" s="40" t="s">
        <v>519</v>
      </c>
      <c r="Q19" s="3"/>
      <c r="R19" s="3"/>
      <c r="S19" s="3"/>
      <c r="T19" s="3"/>
      <c r="U19" s="3"/>
      <c r="V19" s="3"/>
    </row>
    <row r="20" ht="71.25" customHeight="1">
      <c r="A20" s="83" t="s">
        <v>151</v>
      </c>
      <c r="B20" s="84" t="s">
        <v>389</v>
      </c>
      <c r="C20" s="85" t="s">
        <v>522</v>
      </c>
      <c r="D20" s="37"/>
      <c r="E20" s="67" t="str">
        <f>HYPERLINK("https://drive.google.com/drive/folders/1BsqqCAa467Hs8Rkaenoa1z7kZT84_1Mo","◆ Cycle 09 · Membrane &amp; Transport
Cell Transport (Cell Transport Lesson · PhET Membrane Transport + BioMan Osmosis)
VT
Folder")</f>
        <v>◆ Cycle 09 · Membrane &amp; Transport
Cell Transport (Cell Transport Lesson · PhET Membrane Transport + BioMan Osmosis)
VT
Folder</v>
      </c>
      <c r="F20" s="40" t="s">
        <v>523</v>
      </c>
      <c r="G20" s="40" t="s">
        <v>525</v>
      </c>
      <c r="H20" s="40" t="s">
        <v>527</v>
      </c>
      <c r="I20" s="68" t="s">
        <v>528</v>
      </c>
      <c r="J20" s="40" t="s">
        <v>529</v>
      </c>
      <c r="K20" s="40" t="s">
        <v>530</v>
      </c>
      <c r="L20" s="40" t="s">
        <v>527</v>
      </c>
      <c r="M20" s="69" t="s">
        <v>533</v>
      </c>
      <c r="N20" s="40" t="s">
        <v>536</v>
      </c>
      <c r="O20" s="40" t="s">
        <v>537</v>
      </c>
      <c r="P20" s="40" t="s">
        <v>527</v>
      </c>
      <c r="Q20" s="3"/>
      <c r="R20" s="3"/>
      <c r="S20" s="3"/>
      <c r="T20" s="3"/>
      <c r="U20" s="3"/>
      <c r="V20" s="3"/>
    </row>
    <row r="21" ht="71.25" customHeight="1">
      <c r="A21" s="83" t="s">
        <v>167</v>
      </c>
      <c r="B21" s="84" t="s">
        <v>389</v>
      </c>
      <c r="C21" s="85" t="s">
        <v>295</v>
      </c>
      <c r="D21" s="37"/>
      <c r="E21" s="67" t="str">
        <f>HYPERLINK("https://drive.google.com/drive/folders/1lSREsE87lV-dqy8foAktSXf-uHABeqsN","◆ Cycle 10 · Enzymes
Enzymes (Enzymes Lesson · BioMan Enzymatic)
VT
Folder")</f>
        <v>◆ Cycle 10 · Enzymes
Enzymes (Enzymes Lesson · BioMan Enzymatic)
VT
Folder</v>
      </c>
      <c r="F21" s="40" t="s">
        <v>542</v>
      </c>
      <c r="G21" s="40" t="s">
        <v>543</v>
      </c>
      <c r="H21" s="40" t="s">
        <v>544</v>
      </c>
      <c r="I21" s="68" t="s">
        <v>546</v>
      </c>
      <c r="J21" s="40" t="s">
        <v>548</v>
      </c>
      <c r="K21" s="40" t="s">
        <v>549</v>
      </c>
      <c r="L21" s="40" t="s">
        <v>550</v>
      </c>
      <c r="M21" s="69" t="s">
        <v>551</v>
      </c>
      <c r="N21" s="40" t="s">
        <v>554</v>
      </c>
      <c r="O21" s="40" t="s">
        <v>556</v>
      </c>
      <c r="P21" s="40" t="s">
        <v>558</v>
      </c>
      <c r="Q21" s="3"/>
      <c r="R21" s="3"/>
      <c r="S21" s="3"/>
      <c r="T21" s="3"/>
      <c r="U21" s="3"/>
      <c r="V21" s="3"/>
    </row>
    <row r="22" ht="71.25" customHeight="1">
      <c r="A22" s="83" t="s">
        <v>559</v>
      </c>
      <c r="B22" s="84" t="s">
        <v>389</v>
      </c>
      <c r="C22" s="85" t="s">
        <v>560</v>
      </c>
      <c r="D22" s="37"/>
      <c r="E22" s="91" t="s">
        <v>563</v>
      </c>
      <c r="F22" s="40" t="s">
        <v>564</v>
      </c>
      <c r="G22" s="40" t="s">
        <v>566</v>
      </c>
      <c r="H22" s="40" t="s">
        <v>568</v>
      </c>
      <c r="I22" s="68" t="s">
        <v>563</v>
      </c>
      <c r="J22" s="40" t="s">
        <v>569</v>
      </c>
      <c r="K22" s="40" t="s">
        <v>570</v>
      </c>
      <c r="L22" s="40" t="s">
        <v>568</v>
      </c>
      <c r="M22" s="92" t="s">
        <v>563</v>
      </c>
      <c r="N22" s="40" t="s">
        <v>571</v>
      </c>
      <c r="O22" s="40" t="s">
        <v>566</v>
      </c>
      <c r="P22" s="40" t="s">
        <v>568</v>
      </c>
      <c r="Q22" s="3"/>
      <c r="R22" s="3"/>
      <c r="S22" s="3"/>
      <c r="T22" s="3"/>
      <c r="U22" s="3"/>
      <c r="V22" s="3"/>
    </row>
    <row r="23" ht="71.25" customHeight="1">
      <c r="A23" s="34" t="s">
        <v>184</v>
      </c>
      <c r="B23" s="35" t="s">
        <v>389</v>
      </c>
      <c r="C23" s="36" t="s">
        <v>576</v>
      </c>
      <c r="D23" s="37"/>
      <c r="E23" s="39" t="s">
        <v>577</v>
      </c>
      <c r="F23" s="40" t="s">
        <v>582</v>
      </c>
      <c r="G23" s="40" t="s">
        <v>583</v>
      </c>
      <c r="H23" s="40" t="s">
        <v>584</v>
      </c>
      <c r="I23" s="43" t="s">
        <v>585</v>
      </c>
      <c r="J23" s="40" t="s">
        <v>586</v>
      </c>
      <c r="K23" s="40" t="s">
        <v>587</v>
      </c>
      <c r="L23" s="40" t="s">
        <v>588</v>
      </c>
      <c r="M23" s="46" t="s">
        <v>589</v>
      </c>
      <c r="N23" s="40" t="s">
        <v>590</v>
      </c>
      <c r="O23" s="40" t="s">
        <v>591</v>
      </c>
      <c r="P23" s="40" t="s">
        <v>592</v>
      </c>
      <c r="Q23" s="3"/>
      <c r="R23" s="3"/>
      <c r="S23" s="3"/>
      <c r="T23" s="3"/>
      <c r="U23" s="3"/>
      <c r="V23" s="3"/>
    </row>
    <row r="24" ht="71.25" customHeight="1">
      <c r="A24" s="83" t="s">
        <v>593</v>
      </c>
      <c r="B24" s="84" t="s">
        <v>389</v>
      </c>
      <c r="C24" s="85" t="s">
        <v>350</v>
      </c>
      <c r="D24" s="37"/>
      <c r="E24" s="67" t="str">
        <f>HYPERLINK("https://drive.google.com/drive/folders/1LltOdMoB_7F9KQC1rDgjQg77S8sVvkf3","◆ Cycle 11 · Cell Cycle → Cancer
Cell Regulation &amp; Cancer (Cell Regulation and Cancer VT · HHMI Cell Cycle &amp; Cancer)
VT
Folder")</f>
        <v>◆ Cycle 11 · Cell Cycle → Cancer
Cell Regulation &amp; Cancer (Cell Regulation and Cancer VT · HHMI Cell Cycle &amp; Cancer)
VT
Folder</v>
      </c>
      <c r="F24" s="40" t="s">
        <v>594</v>
      </c>
      <c r="G24" s="40" t="s">
        <v>595</v>
      </c>
      <c r="H24" s="40" t="s">
        <v>596</v>
      </c>
      <c r="I24" s="68" t="s">
        <v>597</v>
      </c>
      <c r="J24" s="40" t="s">
        <v>598</v>
      </c>
      <c r="K24" s="40" t="s">
        <v>599</v>
      </c>
      <c r="L24" s="40"/>
      <c r="M24" s="69" t="s">
        <v>600</v>
      </c>
      <c r="N24" s="40" t="s">
        <v>601</v>
      </c>
      <c r="O24" s="40" t="s">
        <v>602</v>
      </c>
      <c r="P24" s="40" t="s">
        <v>603</v>
      </c>
      <c r="Q24" s="3"/>
      <c r="R24" s="3"/>
      <c r="S24" s="3"/>
      <c r="T24" s="3"/>
      <c r="U24" s="3"/>
      <c r="V24" s="3"/>
    </row>
    <row r="25" ht="71.25" customHeight="1">
      <c r="A25" s="93" t="s">
        <v>604</v>
      </c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33"/>
      <c r="Q25" s="3"/>
      <c r="R25" s="3"/>
      <c r="S25" s="3"/>
      <c r="T25" s="3"/>
      <c r="U25" s="3"/>
      <c r="V25" s="3"/>
    </row>
    <row r="26" ht="71.25" customHeight="1">
      <c r="A26" s="86" t="s">
        <v>201</v>
      </c>
      <c r="B26" s="86" t="s">
        <v>605</v>
      </c>
      <c r="C26" s="87" t="s">
        <v>606</v>
      </c>
      <c r="D26" s="37"/>
      <c r="E26" s="88" t="str">
        <f>HYPERLINK("https://drive.google.com/drive/folders/1LltOdMoB_7F9KQC1rDgjQg77S8sVvkf3","◆ Cycle 11 · Cell Cycle → Cancer
The Cell Cycle · VT ✓ (The Cell Cycle VT · HHMI Cell Cycle &amp; Cancer)
VT
Folder")</f>
        <v>◆ Cycle 11 · Cell Cycle → Cancer
The Cell Cycle · VT ✓ (The Cell Cycle VT · HHMI Cell Cycle &amp; Cancer)
VT
Folder</v>
      </c>
      <c r="F26" s="47" t="s">
        <v>607</v>
      </c>
      <c r="G26" s="40" t="s">
        <v>608</v>
      </c>
      <c r="H26" s="40" t="s">
        <v>609</v>
      </c>
      <c r="I26" s="89" t="s">
        <v>610</v>
      </c>
      <c r="J26" s="47"/>
      <c r="K26" s="40"/>
      <c r="L26" s="40"/>
      <c r="M26" s="90" t="s">
        <v>611</v>
      </c>
      <c r="N26" s="47" t="s">
        <v>612</v>
      </c>
      <c r="O26" s="40" t="s">
        <v>613</v>
      </c>
      <c r="P26" s="40" t="s">
        <v>614</v>
      </c>
      <c r="Q26" s="3"/>
      <c r="R26" s="3"/>
      <c r="S26" s="3"/>
      <c r="T26" s="3"/>
      <c r="U26" s="3"/>
      <c r="V26" s="3"/>
    </row>
    <row r="27" ht="71.25" customHeight="1">
      <c r="A27" s="94" t="s">
        <v>615</v>
      </c>
      <c r="B27" s="95" t="s">
        <v>605</v>
      </c>
      <c r="C27" s="96" t="s">
        <v>616</v>
      </c>
      <c r="D27" s="37"/>
      <c r="E27" s="67" t="str">
        <f>HYPERLINK("https://drive.google.com/drive/folders/1XOyYlAk2a5yJkWksIPv6bAtdB5l84Bis","◆ Cycle 12 · Reproduction &amp; Meiosis
Asexual &amp; Sexual Reproduction · VT ✓ (Asexual &amp; Sexual Reproduction VT · BioMan Snurfle Meiosis)
VT
Folder")</f>
        <v>◆ Cycle 12 · Reproduction &amp; Meiosis
Asexual &amp; Sexual Reproduction · VT ✓ (Asexual &amp; Sexual Reproduction VT · BioMan Snurfle Meiosis)
VT
Folder</v>
      </c>
      <c r="F27" s="73" t="s">
        <v>617</v>
      </c>
      <c r="G27" s="40" t="s">
        <v>618</v>
      </c>
      <c r="H27" s="40" t="s">
        <v>619</v>
      </c>
      <c r="I27" s="68" t="s">
        <v>620</v>
      </c>
      <c r="J27" s="40" t="s">
        <v>621</v>
      </c>
      <c r="K27" s="40" t="s">
        <v>622</v>
      </c>
      <c r="L27" s="40" t="s">
        <v>623</v>
      </c>
      <c r="M27" s="69" t="s">
        <v>624</v>
      </c>
      <c r="N27" s="40" t="s">
        <v>625</v>
      </c>
      <c r="O27" s="40" t="s">
        <v>626</v>
      </c>
      <c r="P27" s="40" t="s">
        <v>627</v>
      </c>
      <c r="Q27" s="3"/>
      <c r="R27" s="3"/>
      <c r="S27" s="3"/>
      <c r="T27" s="3"/>
      <c r="U27" s="3"/>
      <c r="V27" s="3"/>
    </row>
    <row r="28" ht="71.25" customHeight="1">
      <c r="A28" s="94" t="s">
        <v>215</v>
      </c>
      <c r="B28" s="95" t="s">
        <v>605</v>
      </c>
      <c r="C28" s="96" t="s">
        <v>410</v>
      </c>
      <c r="D28" s="37"/>
      <c r="E28" s="67" t="str">
        <f>HYPERLINK("https://drive.google.com/drive/folders/1QUooI_qUo2iLDJCr5gaBdQBc0QHPzxgx","◆ Cycle 16 · Mutations &amp; Gene Expression
Stem Cell Differentiation · VT ✓ (Stem Cell Differentiation VT · HHMI)
VT
Folder")</f>
        <v>◆ Cycle 16 · Mutations &amp; Gene Expression
Stem Cell Differentiation · VT ✓ (Stem Cell Differentiation VT · HHMI)
VT
Folder</v>
      </c>
      <c r="F28" s="40" t="s">
        <v>628</v>
      </c>
      <c r="G28" s="40" t="s">
        <v>629</v>
      </c>
      <c r="H28" s="40" t="s">
        <v>630</v>
      </c>
      <c r="I28" s="68" t="s">
        <v>631</v>
      </c>
      <c r="J28" s="40" t="s">
        <v>632</v>
      </c>
      <c r="K28" s="40" t="s">
        <v>633</v>
      </c>
      <c r="L28" s="40" t="s">
        <v>634</v>
      </c>
      <c r="M28" s="69" t="s">
        <v>635</v>
      </c>
      <c r="N28" s="40" t="s">
        <v>636</v>
      </c>
      <c r="O28" s="40" t="s">
        <v>637</v>
      </c>
      <c r="P28" s="40" t="s">
        <v>638</v>
      </c>
      <c r="Q28" s="3"/>
      <c r="R28" s="3"/>
      <c r="S28" s="3"/>
      <c r="T28" s="3"/>
      <c r="U28" s="3"/>
      <c r="V28" s="3"/>
    </row>
    <row r="29" ht="71.25" customHeight="1">
      <c r="A29" s="94" t="s">
        <v>247</v>
      </c>
      <c r="B29" s="95" t="s">
        <v>605</v>
      </c>
      <c r="C29" s="96" t="s">
        <v>639</v>
      </c>
      <c r="D29" s="37"/>
      <c r="E29" s="67" t="str">
        <f>HYPERLINK("https://drive.google.com/drive/folders/19wtWM4tfDvTtnHuNHGL0aHwrmZFHpSO8","◆ Cycle 13 · Mendelian Genetics
Introduction to Heredity · VT ✓ (Introduction to Heredity · VT built)
VT
Folder")</f>
        <v>◆ Cycle 13 · Mendelian Genetics
Introduction to Heredity · VT ✓ (Introduction to Heredity · VT built)
VT
Folder</v>
      </c>
      <c r="F29" s="40" t="s">
        <v>640</v>
      </c>
      <c r="G29" s="40" t="s">
        <v>641</v>
      </c>
      <c r="H29" s="73" t="s">
        <v>642</v>
      </c>
      <c r="I29" s="68" t="s">
        <v>643</v>
      </c>
      <c r="J29" s="40" t="s">
        <v>644</v>
      </c>
      <c r="K29" s="40" t="s">
        <v>645</v>
      </c>
      <c r="L29" s="40" t="s">
        <v>646</v>
      </c>
      <c r="M29" s="69" t="s">
        <v>647</v>
      </c>
      <c r="N29" s="40" t="s">
        <v>648</v>
      </c>
      <c r="O29" s="40" t="s">
        <v>649</v>
      </c>
      <c r="P29" s="40" t="s">
        <v>646</v>
      </c>
      <c r="Q29" s="3"/>
      <c r="R29" s="3"/>
      <c r="S29" s="3"/>
      <c r="T29" s="3"/>
      <c r="U29" s="3"/>
      <c r="V29" s="3"/>
    </row>
    <row r="30" ht="71.25" customHeight="1">
      <c r="A30" s="86" t="s">
        <v>267</v>
      </c>
      <c r="B30" s="86" t="s">
        <v>605</v>
      </c>
      <c r="C30" s="87" t="s">
        <v>650</v>
      </c>
      <c r="D30" s="37"/>
      <c r="E30" s="88" t="str">
        <f>HYPERLINK("https://drive.google.com/drive/folders/19wtWM4tfDvTtnHuNHGL0aHwrmZFHpSO8","◆ Cycle 13 · Mendelian Genetics
Intro to Genetics &amp; Mendel · VT ✓ (Mendelian Genetics Lesson · Snurfle Meiosis &amp; Genetics)
VT
Folder")</f>
        <v>◆ Cycle 13 · Mendelian Genetics
Intro to Genetics &amp; Mendel · VT ✓ (Mendelian Genetics Lesson · Snurfle Meiosis &amp; Genetics)
VT
Folder</v>
      </c>
      <c r="F30" s="47" t="s">
        <v>651</v>
      </c>
      <c r="G30" s="40" t="s">
        <v>652</v>
      </c>
      <c r="H30" s="40" t="s">
        <v>653</v>
      </c>
      <c r="I30" s="89" t="s">
        <v>654</v>
      </c>
      <c r="J30" s="47" t="s">
        <v>655</v>
      </c>
      <c r="K30" s="40" t="s">
        <v>656</v>
      </c>
      <c r="L30" s="40" t="s">
        <v>657</v>
      </c>
      <c r="M30" s="90" t="s">
        <v>658</v>
      </c>
      <c r="N30" s="47" t="s">
        <v>659</v>
      </c>
      <c r="O30" s="40" t="s">
        <v>660</v>
      </c>
      <c r="P30" s="40" t="s">
        <v>661</v>
      </c>
      <c r="Q30" s="3"/>
      <c r="R30" s="3"/>
      <c r="S30" s="3"/>
      <c r="T30" s="3"/>
      <c r="U30" s="3"/>
      <c r="V30" s="3"/>
    </row>
    <row r="31" ht="71.25" customHeight="1">
      <c r="A31" s="94" t="s">
        <v>281</v>
      </c>
      <c r="B31" s="95" t="s">
        <v>605</v>
      </c>
      <c r="C31" s="96" t="s">
        <v>453</v>
      </c>
      <c r="D31" s="37"/>
      <c r="E31" s="67" t="str">
        <f>HYPERLINK("https://drive.google.com/drive/folders/19wtWM4tfDvTtnHuNHGL0aHwrmZFHpSO8","◆ Cycle 13 · Mendelian Genetics
Genetics Continued: Punnett Squares · VT ✓ (genetics_with_vt_inserts · Pedigrees · Complex Inheritance)
VT
Folder")</f>
        <v>◆ Cycle 13 · Mendelian Genetics
Genetics Continued: Punnett Squares · VT ✓ (genetics_with_vt_inserts · Pedigrees · Complex Inheritance)
VT
Folder</v>
      </c>
      <c r="F31" s="40" t="s">
        <v>662</v>
      </c>
      <c r="G31" s="40" t="s">
        <v>663</v>
      </c>
      <c r="H31" s="40" t="s">
        <v>664</v>
      </c>
      <c r="I31" s="68" t="s">
        <v>665</v>
      </c>
      <c r="J31" s="40" t="s">
        <v>666</v>
      </c>
      <c r="K31" s="40" t="s">
        <v>667</v>
      </c>
      <c r="L31" s="40" t="s">
        <v>668</v>
      </c>
      <c r="M31" s="69" t="s">
        <v>669</v>
      </c>
      <c r="N31" s="40" t="s">
        <v>670</v>
      </c>
      <c r="O31" s="40" t="s">
        <v>671</v>
      </c>
      <c r="P31" s="40" t="s">
        <v>672</v>
      </c>
      <c r="Q31" s="3"/>
      <c r="R31" s="3"/>
      <c r="S31" s="3"/>
      <c r="T31" s="3"/>
      <c r="U31" s="3"/>
      <c r="V31" s="3"/>
    </row>
    <row r="32" ht="71.25" customHeight="1">
      <c r="A32" s="94" t="s">
        <v>304</v>
      </c>
      <c r="B32" s="95" t="s">
        <v>605</v>
      </c>
      <c r="C32" s="96" t="s">
        <v>468</v>
      </c>
      <c r="D32" s="37"/>
      <c r="E32" s="67" t="s">
        <v>673</v>
      </c>
      <c r="F32" s="40" t="s">
        <v>674</v>
      </c>
      <c r="G32" s="40" t="s">
        <v>675</v>
      </c>
      <c r="H32" s="40" t="s">
        <v>676</v>
      </c>
      <c r="I32" s="68" t="s">
        <v>677</v>
      </c>
      <c r="J32" s="40" t="s">
        <v>678</v>
      </c>
      <c r="K32" s="40" t="s">
        <v>679</v>
      </c>
      <c r="L32" s="40" t="s">
        <v>680</v>
      </c>
      <c r="M32" s="69" t="s">
        <v>681</v>
      </c>
      <c r="N32" s="40" t="s">
        <v>682</v>
      </c>
      <c r="O32" s="40" t="s">
        <v>683</v>
      </c>
      <c r="P32" s="40" t="s">
        <v>684</v>
      </c>
      <c r="Q32" s="3"/>
      <c r="R32" s="3"/>
      <c r="S32" s="3"/>
      <c r="T32" s="3"/>
      <c r="U32" s="3"/>
      <c r="V32" s="3"/>
    </row>
    <row r="33" ht="71.25" customHeight="1">
      <c r="A33" s="94" t="s">
        <v>319</v>
      </c>
      <c r="B33" s="95" t="s">
        <v>605</v>
      </c>
      <c r="C33" s="96" t="s">
        <v>685</v>
      </c>
      <c r="D33" s="37"/>
      <c r="E33" s="67" t="str">
        <f>HYPERLINK("https://drive.google.com/drive/folders/1flXCm6TJKiaenHyVoyBmZVbLHlZDRvNn","◆ Cycle 14 · DNA Structure &amp; Replication
DNA Structure · VT ✓ (DNA Structure — VT Inserts)
VT
Folder")</f>
        <v>◆ Cycle 14 · DNA Structure &amp; Replication
DNA Structure · VT ✓ (DNA Structure — VT Inserts)
VT
Folder</v>
      </c>
      <c r="F33" s="40" t="s">
        <v>686</v>
      </c>
      <c r="G33" s="40" t="s">
        <v>687</v>
      </c>
      <c r="H33" s="40" t="s">
        <v>688</v>
      </c>
      <c r="I33" s="68" t="s">
        <v>689</v>
      </c>
      <c r="J33" s="40" t="s">
        <v>690</v>
      </c>
      <c r="K33" s="40" t="s">
        <v>691</v>
      </c>
      <c r="L33" s="40" t="s">
        <v>692</v>
      </c>
      <c r="M33" s="69" t="s">
        <v>693</v>
      </c>
      <c r="N33" s="40" t="s">
        <v>694</v>
      </c>
      <c r="O33" s="40" t="s">
        <v>687</v>
      </c>
      <c r="P33" s="40" t="s">
        <v>695</v>
      </c>
      <c r="Q33" s="3"/>
      <c r="R33" s="3"/>
      <c r="S33" s="3"/>
      <c r="T33" s="3"/>
      <c r="U33" s="3"/>
      <c r="V33" s="3"/>
    </row>
    <row r="34" ht="71.25" customHeight="1">
      <c r="A34" s="94" t="s">
        <v>329</v>
      </c>
      <c r="B34" s="95" t="s">
        <v>605</v>
      </c>
      <c r="C34" s="96" t="s">
        <v>486</v>
      </c>
      <c r="D34" s="37"/>
      <c r="E34" s="67" t="str">
        <f>HYPERLINK("https://drive.google.com/drive/folders/1flXCm6TJKiaenHyVoyBmZVbLHlZDRvNn","◆ Cycle 14 · DNA Structure &amp; Replication
DNA Replication · VT ✓ (DNA Replication VT)
VT
Folder")</f>
        <v>◆ Cycle 14 · DNA Structure &amp; Replication
DNA Replication · VT ✓ (DNA Replication VT)
VT
Folder</v>
      </c>
      <c r="F34" s="40" t="s">
        <v>696</v>
      </c>
      <c r="G34" s="40" t="s">
        <v>697</v>
      </c>
      <c r="H34" s="40" t="s">
        <v>698</v>
      </c>
      <c r="I34" s="68" t="s">
        <v>699</v>
      </c>
      <c r="J34" s="40" t="s">
        <v>700</v>
      </c>
      <c r="K34" s="40" t="s">
        <v>701</v>
      </c>
      <c r="L34" s="40" t="s">
        <v>702</v>
      </c>
      <c r="M34" s="69" t="s">
        <v>703</v>
      </c>
      <c r="N34" s="40" t="s">
        <v>704</v>
      </c>
      <c r="O34" s="40" t="s">
        <v>705</v>
      </c>
      <c r="P34" s="40" t="s">
        <v>706</v>
      </c>
      <c r="Q34" s="3"/>
      <c r="R34" s="3"/>
      <c r="S34" s="3"/>
      <c r="T34" s="3"/>
      <c r="U34" s="3"/>
      <c r="V34" s="3"/>
    </row>
    <row r="35" ht="71.25" customHeight="1">
      <c r="A35" s="97" t="s">
        <v>707</v>
      </c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33"/>
      <c r="Q35" s="3"/>
      <c r="R35" s="3"/>
      <c r="S35" s="3"/>
      <c r="T35" s="3"/>
      <c r="U35" s="3"/>
      <c r="V35" s="3"/>
    </row>
    <row r="36" ht="71.25" customHeight="1">
      <c r="A36" s="86" t="s">
        <v>708</v>
      </c>
      <c r="B36" s="86" t="s">
        <v>709</v>
      </c>
      <c r="C36" s="87" t="s">
        <v>710</v>
      </c>
      <c r="D36" s="37"/>
      <c r="E36" s="98" t="str">
        <f>HYPERLINK("https://drive.google.com/drive/folders/1XOyYlAk2a5yJkWksIPv6bAtdB5l84Bis","◆ Cycle 12 · Reproduction &amp; Meiosis
Meiosis and Sexual Reproduction · VT ✓ (The Process of Meiosis — VT Inserts)
VT
Folder")</f>
        <v>◆ Cycle 12 · Reproduction &amp; Meiosis
Meiosis and Sexual Reproduction · VT ✓ (The Process of Meiosis — VT Inserts)
VT
Folder</v>
      </c>
      <c r="F36" s="47" t="s">
        <v>711</v>
      </c>
      <c r="G36" s="47" t="s">
        <v>712</v>
      </c>
      <c r="H36" s="47" t="s">
        <v>713</v>
      </c>
      <c r="I36" s="89" t="s">
        <v>714</v>
      </c>
      <c r="J36" s="47" t="s">
        <v>715</v>
      </c>
      <c r="K36" s="47" t="s">
        <v>716</v>
      </c>
      <c r="L36" s="47" t="s">
        <v>713</v>
      </c>
      <c r="M36" s="99" t="s">
        <v>717</v>
      </c>
      <c r="N36" s="47" t="s">
        <v>718</v>
      </c>
      <c r="O36" s="47" t="s">
        <v>719</v>
      </c>
      <c r="P36" s="47" t="s">
        <v>713</v>
      </c>
      <c r="Q36" s="3"/>
      <c r="R36" s="3"/>
      <c r="S36" s="3"/>
      <c r="T36" s="3"/>
      <c r="U36" s="3"/>
      <c r="V36" s="3"/>
    </row>
    <row r="37" ht="71.25" customHeight="1">
      <c r="A37" s="100" t="s">
        <v>357</v>
      </c>
      <c r="B37" s="101" t="s">
        <v>709</v>
      </c>
      <c r="C37" s="102" t="s">
        <v>720</v>
      </c>
      <c r="D37" s="37"/>
      <c r="E37" s="91" t="s">
        <v>721</v>
      </c>
      <c r="F37" s="40" t="s">
        <v>722</v>
      </c>
      <c r="G37" s="40" t="s">
        <v>723</v>
      </c>
      <c r="H37" s="73" t="s">
        <v>724</v>
      </c>
      <c r="I37" s="68" t="s">
        <v>721</v>
      </c>
      <c r="J37" s="40" t="s">
        <v>725</v>
      </c>
      <c r="K37" s="40" t="s">
        <v>726</v>
      </c>
      <c r="L37" s="40" t="s">
        <v>724</v>
      </c>
      <c r="M37" s="92" t="s">
        <v>721</v>
      </c>
      <c r="N37" s="40" t="s">
        <v>722</v>
      </c>
      <c r="O37" s="40" t="s">
        <v>723</v>
      </c>
      <c r="P37" s="73" t="s">
        <v>724</v>
      </c>
      <c r="Q37" s="3"/>
      <c r="R37" s="3"/>
      <c r="S37" s="3"/>
      <c r="T37" s="3"/>
      <c r="U37" s="3"/>
      <c r="V37" s="3"/>
    </row>
    <row r="38" ht="71.25" customHeight="1">
      <c r="A38" s="100" t="s">
        <v>382</v>
      </c>
      <c r="B38" s="101" t="s">
        <v>709</v>
      </c>
      <c r="C38" s="102" t="s">
        <v>727</v>
      </c>
      <c r="D38" s="37"/>
      <c r="E38" s="67" t="str">
        <f>HYPERLINK("https://drive.google.com/drive/folders/1RKFet7ov0Pfu6kbG1mDfnQKWzGpFHJXA","◆ Cycle 15 · Protein Synthesis
Genes and Chromosomes · VT ✓ (Genes and Chromosomes VT — DNA→gene→chromosome, locus, alleles)
VT
Folder")</f>
        <v>◆ Cycle 15 · Protein Synthesis
Genes and Chromosomes · VT ✓ (Genes and Chromosomes VT — DNA→gene→chromosome, locus, alleles)
VT
Folder</v>
      </c>
      <c r="F38" s="40" t="s">
        <v>728</v>
      </c>
      <c r="G38" s="40" t="s">
        <v>729</v>
      </c>
      <c r="H38" s="73" t="s">
        <v>730</v>
      </c>
      <c r="I38" s="68" t="s">
        <v>731</v>
      </c>
      <c r="J38" s="40" t="s">
        <v>732</v>
      </c>
      <c r="K38" s="40" t="s">
        <v>733</v>
      </c>
      <c r="L38" s="40" t="s">
        <v>734</v>
      </c>
      <c r="M38" s="92" t="s">
        <v>735</v>
      </c>
      <c r="N38" s="40" t="s">
        <v>736</v>
      </c>
      <c r="O38" s="40" t="s">
        <v>737</v>
      </c>
      <c r="P38" s="40" t="s">
        <v>734</v>
      </c>
      <c r="Q38" s="3"/>
      <c r="R38" s="3"/>
      <c r="S38" s="3"/>
      <c r="T38" s="3"/>
      <c r="U38" s="3"/>
      <c r="V38" s="3"/>
    </row>
    <row r="39" ht="71.25" customHeight="1">
      <c r="A39" s="100" t="s">
        <v>396</v>
      </c>
      <c r="B39" s="101" t="s">
        <v>709</v>
      </c>
      <c r="C39" s="102" t="s">
        <v>518</v>
      </c>
      <c r="D39" s="37"/>
      <c r="E39" s="67" t="str">
        <f>HYPERLINK("https://drive.google.com/drive/folders/1RKFet7ov0Pfu6kbG1mDfnQKWzGpFHJXA","◆ Cycle 15 · Protein Synthesis
Protein Synthesis: Transcription and Translation (Protein Synthesis Extension · Protein Synthesis VT)
VT
Folder")</f>
        <v>◆ Cycle 15 · Protein Synthesis
Protein Synthesis: Transcription and Translation (Protein Synthesis Extension · Protein Synthesis VT)
VT
Folder</v>
      </c>
      <c r="F39" s="40" t="s">
        <v>738</v>
      </c>
      <c r="G39" s="40" t="s">
        <v>739</v>
      </c>
      <c r="H39" s="40" t="s">
        <v>740</v>
      </c>
      <c r="I39" s="68" t="s">
        <v>741</v>
      </c>
      <c r="J39" s="40" t="s">
        <v>742</v>
      </c>
      <c r="K39" s="40" t="s">
        <v>743</v>
      </c>
      <c r="L39" s="40" t="s">
        <v>744</v>
      </c>
      <c r="M39" s="92" t="s">
        <v>745</v>
      </c>
      <c r="N39" s="40" t="s">
        <v>746</v>
      </c>
      <c r="O39" s="40" t="s">
        <v>747</v>
      </c>
      <c r="P39" s="40" t="s">
        <v>748</v>
      </c>
      <c r="Q39" s="3"/>
      <c r="R39" s="3"/>
      <c r="S39" s="3"/>
      <c r="T39" s="3"/>
      <c r="U39" s="3"/>
      <c r="V39" s="3"/>
    </row>
    <row r="40" ht="71.25" customHeight="1">
      <c r="A40" s="103" t="s">
        <v>413</v>
      </c>
      <c r="B40" s="103" t="s">
        <v>709</v>
      </c>
      <c r="C40" s="104" t="s">
        <v>526</v>
      </c>
      <c r="D40" s="37"/>
      <c r="E40" s="105" t="str">
        <f>HYPERLINK("https://drive.google.com/drive/folders/1QUooI_qUo2iLDJCr5gaBdQBc0QHPzxgx","◆ Cycle 16 · Mutations &amp; Gene Expression
Cell Differentiation and Gene Expression (Biotechnology · Genetic Mutations · Mutations and Genetic Disorders)
VT
Folder")</f>
        <v>◆ Cycle 16 · Mutations &amp; Gene Expression
Cell Differentiation and Gene Expression (Biotechnology · Genetic Mutations · Mutations and Genetic Disorders)
VT
Folder</v>
      </c>
      <c r="F40" s="44" t="s">
        <v>749</v>
      </c>
      <c r="G40" s="44" t="s">
        <v>750</v>
      </c>
      <c r="H40" s="44" t="s">
        <v>751</v>
      </c>
      <c r="I40" s="106" t="s">
        <v>752</v>
      </c>
      <c r="J40" s="44" t="s">
        <v>753</v>
      </c>
      <c r="K40" s="44" t="s">
        <v>754</v>
      </c>
      <c r="L40" s="44" t="s">
        <v>755</v>
      </c>
      <c r="M40" s="107" t="s">
        <v>756</v>
      </c>
      <c r="N40" s="44" t="s">
        <v>757</v>
      </c>
      <c r="O40" s="44" t="s">
        <v>758</v>
      </c>
      <c r="P40" s="44" t="s">
        <v>759</v>
      </c>
      <c r="Q40" s="3"/>
      <c r="R40" s="3"/>
      <c r="S40" s="3"/>
      <c r="T40" s="3"/>
      <c r="U40" s="3"/>
      <c r="V40" s="3"/>
    </row>
    <row r="41" ht="71.25" customHeight="1">
      <c r="A41" s="100" t="s">
        <v>760</v>
      </c>
      <c r="B41" s="101" t="s">
        <v>709</v>
      </c>
      <c r="C41" s="102" t="s">
        <v>761</v>
      </c>
      <c r="D41" s="37"/>
      <c r="E41" s="67" t="str">
        <f>HYPERLINK("https://drive.google.com/drive/folders/1QBPOrHc-QBvmh2X03M1aym6ZMGRffNMu","◆ Cycle 17 · Darwin &amp; Evidence
Darwin and the Development of a Theory (Intro to Evolution VT)
VT
Folder")</f>
        <v>◆ Cycle 17 · Darwin &amp; Evidence
Darwin and the Development of a Theory (Intro to Evolution VT)
VT
Folder</v>
      </c>
      <c r="F41" s="40" t="s">
        <v>762</v>
      </c>
      <c r="G41" s="40" t="s">
        <v>763</v>
      </c>
      <c r="H41" s="73" t="s">
        <v>764</v>
      </c>
      <c r="I41" s="68" t="s">
        <v>765</v>
      </c>
      <c r="J41" s="40" t="s">
        <v>766</v>
      </c>
      <c r="K41" s="40" t="s">
        <v>767</v>
      </c>
      <c r="L41" s="40" t="s">
        <v>768</v>
      </c>
      <c r="M41" s="92" t="s">
        <v>769</v>
      </c>
      <c r="N41" s="40" t="s">
        <v>770</v>
      </c>
      <c r="O41" s="40" t="s">
        <v>771</v>
      </c>
      <c r="P41" s="40" t="s">
        <v>768</v>
      </c>
      <c r="Q41" s="3"/>
      <c r="R41" s="3"/>
      <c r="S41" s="3"/>
      <c r="T41" s="3"/>
      <c r="U41" s="3"/>
      <c r="V41" s="3"/>
    </row>
    <row r="42" ht="71.25" customHeight="1">
      <c r="A42" s="100" t="s">
        <v>429</v>
      </c>
      <c r="B42" s="101" t="s">
        <v>709</v>
      </c>
      <c r="C42" s="102" t="s">
        <v>541</v>
      </c>
      <c r="D42" s="37"/>
      <c r="E42" s="67" t="str">
        <f>HYPERLINK("https://drive.google.com/drive/folders/1QBPOrHc-QBvmh2X03M1aym6ZMGRffNMu","◆ Cycle 17 · Darwin &amp; Evidence
Using Fossil Evidence to Investigate Whale Evolution (Evidence of Evolution VT)
VT
Folder")</f>
        <v>◆ Cycle 17 · Darwin &amp; Evidence
Using Fossil Evidence to Investigate Whale Evolution (Evidence of Evolution VT)
VT
Folder</v>
      </c>
      <c r="F42" s="40" t="s">
        <v>772</v>
      </c>
      <c r="G42" s="40" t="s">
        <v>773</v>
      </c>
      <c r="H42" s="40" t="s">
        <v>774</v>
      </c>
      <c r="I42" s="68" t="s">
        <v>775</v>
      </c>
      <c r="J42" s="40" t="s">
        <v>776</v>
      </c>
      <c r="K42" s="40" t="s">
        <v>777</v>
      </c>
      <c r="L42" s="40" t="s">
        <v>778</v>
      </c>
      <c r="M42" s="92" t="s">
        <v>779</v>
      </c>
      <c r="N42" s="40" t="s">
        <v>780</v>
      </c>
      <c r="O42" s="40" t="s">
        <v>781</v>
      </c>
      <c r="P42" s="40" t="s">
        <v>782</v>
      </c>
      <c r="Q42" s="3"/>
      <c r="R42" s="3"/>
      <c r="S42" s="3"/>
      <c r="T42" s="3"/>
      <c r="U42" s="3"/>
      <c r="V42" s="3"/>
    </row>
    <row r="43" ht="71.25" customHeight="1">
      <c r="A43" s="100" t="s">
        <v>456</v>
      </c>
      <c r="B43" s="101" t="s">
        <v>709</v>
      </c>
      <c r="C43" s="102" t="s">
        <v>553</v>
      </c>
      <c r="D43" s="37"/>
      <c r="E43" s="67" t="str">
        <f>HYPERLINK("https://drive.google.com/drive/folders/12t7-0OW0SE2_4ubuFJHucyIkqjet2Naq","◆ Cycle 18 · Natural Selection
Natural Selection (Natural Selection VT)
VT
Folder")</f>
        <v>◆ Cycle 18 · Natural Selection
Natural Selection (Natural Selection VT)
VT
Folder</v>
      </c>
      <c r="F43" s="40" t="s">
        <v>783</v>
      </c>
      <c r="G43" s="40" t="s">
        <v>784</v>
      </c>
      <c r="H43" s="40" t="s">
        <v>785</v>
      </c>
      <c r="I43" s="68" t="s">
        <v>786</v>
      </c>
      <c r="J43" s="40" t="s">
        <v>787</v>
      </c>
      <c r="K43" s="40" t="s">
        <v>788</v>
      </c>
      <c r="L43" s="40" t="s">
        <v>789</v>
      </c>
      <c r="M43" s="92" t="s">
        <v>790</v>
      </c>
      <c r="N43" s="40" t="s">
        <v>791</v>
      </c>
      <c r="O43" s="40" t="s">
        <v>792</v>
      </c>
      <c r="P43" s="40" t="s">
        <v>793</v>
      </c>
      <c r="Q43" s="3"/>
      <c r="R43" s="3"/>
      <c r="S43" s="3"/>
      <c r="T43" s="3"/>
      <c r="U43" s="3"/>
      <c r="V43" s="3"/>
    </row>
    <row r="44" ht="71.25" customHeight="1">
      <c r="A44" s="100" t="s">
        <v>794</v>
      </c>
      <c r="B44" s="101" t="s">
        <v>709</v>
      </c>
      <c r="C44" s="102" t="s">
        <v>562</v>
      </c>
      <c r="D44" s="37"/>
      <c r="E44" s="67" t="str">
        <f>HYPERLINK("https://drive.google.com/drive/folders/12t7-0OW0SE2_4ubuFJHucyIkqjet2Naq","◆ Cycle 18 · Natural Selection
The Genetic Basis of Adaptation (Population Genetics Lesson)
VT
Folder")</f>
        <v>◆ Cycle 18 · Natural Selection
The Genetic Basis of Adaptation (Population Genetics Lesson)
VT
Folder</v>
      </c>
      <c r="F44" s="40" t="s">
        <v>795</v>
      </c>
      <c r="G44" s="40" t="s">
        <v>796</v>
      </c>
      <c r="H44" s="40" t="s">
        <v>797</v>
      </c>
      <c r="I44" s="68" t="s">
        <v>798</v>
      </c>
      <c r="J44" s="40" t="s">
        <v>799</v>
      </c>
      <c r="K44" s="40" t="s">
        <v>800</v>
      </c>
      <c r="L44" s="40" t="s">
        <v>801</v>
      </c>
      <c r="M44" s="92" t="s">
        <v>802</v>
      </c>
      <c r="N44" s="40" t="s">
        <v>803</v>
      </c>
      <c r="O44" s="40" t="s">
        <v>804</v>
      </c>
      <c r="P44" s="40" t="s">
        <v>805</v>
      </c>
      <c r="Q44" s="3"/>
      <c r="R44" s="3"/>
      <c r="S44" s="3"/>
      <c r="T44" s="3"/>
      <c r="U44" s="3"/>
      <c r="V44" s="3"/>
    </row>
    <row r="45" ht="71.25" customHeight="1">
      <c r="A45" s="3" t="s">
        <v>806</v>
      </c>
      <c r="B45" s="3"/>
      <c r="C45" s="3" t="s">
        <v>807</v>
      </c>
      <c r="D45" s="108"/>
      <c r="E45" s="109" t="str">
        <f>HYPERLINK("https://drive.google.com/drive/folders/1iruHCi2QoDDr3ts8TEV3HSasPm6IHat5","◆ Cycle 19 · Speciation &amp; Biodiversity
The Processes and Outcomes of Evolution (Classifying Organisms VT · Evolutionary Patterns and Processes Lesson)
VT
Folder")</f>
        <v>◆ Cycle 19 · Speciation &amp; Biodiversity
The Processes and Outcomes of Evolution (Classifying Organisms VT · Evolutionary Patterns and Processes Lesson)
VT
Folder</v>
      </c>
      <c r="F45" s="58" t="s">
        <v>808</v>
      </c>
      <c r="G45" s="58" t="s">
        <v>809</v>
      </c>
      <c r="H45" s="58" t="s">
        <v>810</v>
      </c>
      <c r="I45" s="58" t="s">
        <v>811</v>
      </c>
      <c r="J45" s="58" t="s">
        <v>812</v>
      </c>
      <c r="K45" s="58" t="s">
        <v>813</v>
      </c>
      <c r="L45" s="58" t="s">
        <v>814</v>
      </c>
      <c r="M45" s="58" t="s">
        <v>815</v>
      </c>
      <c r="N45" s="58" t="s">
        <v>816</v>
      </c>
      <c r="O45" s="58" t="s">
        <v>817</v>
      </c>
      <c r="P45" s="58" t="s">
        <v>818</v>
      </c>
      <c r="Q45" s="3"/>
      <c r="R45" s="3"/>
      <c r="S45" s="3"/>
      <c r="T45" s="3"/>
      <c r="U45" s="3"/>
      <c r="V45" s="3"/>
    </row>
    <row r="46" ht="71.25" customHeight="1">
      <c r="A46" s="3" t="s">
        <v>819</v>
      </c>
      <c r="B46" s="3"/>
      <c r="C46" s="3" t="s">
        <v>579</v>
      </c>
      <c r="D46" s="108"/>
      <c r="E46" s="58"/>
      <c r="F46" s="58"/>
      <c r="G46" s="58"/>
      <c r="H46" s="58"/>
      <c r="I46" s="58" t="s">
        <v>820</v>
      </c>
      <c r="J46" s="58" t="s">
        <v>821</v>
      </c>
      <c r="K46" s="58" t="s">
        <v>822</v>
      </c>
      <c r="L46" s="58" t="s">
        <v>823</v>
      </c>
      <c r="M46" s="58"/>
      <c r="N46" s="58"/>
      <c r="O46" s="58"/>
      <c r="P46" s="58"/>
      <c r="Q46" s="3"/>
      <c r="R46" s="3"/>
      <c r="S46" s="3"/>
      <c r="T46" s="3"/>
      <c r="U46" s="3"/>
      <c r="V46" s="3"/>
    </row>
    <row r="47" ht="15.75" customHeight="1">
      <c r="A47" s="3"/>
      <c r="B47" s="3"/>
      <c r="C47" s="3"/>
      <c r="D47" s="108"/>
      <c r="E47" s="58"/>
      <c r="F47" s="58"/>
      <c r="G47" s="58"/>
      <c r="H47" s="58"/>
      <c r="I47" s="58"/>
      <c r="J47" s="58"/>
      <c r="K47" s="58"/>
      <c r="L47" s="58"/>
      <c r="M47" s="58"/>
      <c r="N47" s="58"/>
      <c r="O47" s="58"/>
      <c r="P47" s="58"/>
      <c r="Q47" s="3"/>
      <c r="R47" s="3"/>
      <c r="S47" s="3"/>
      <c r="T47" s="3"/>
      <c r="U47" s="3"/>
      <c r="V47" s="3"/>
    </row>
    <row r="48" ht="15.75" customHeight="1">
      <c r="A48" s="3"/>
      <c r="B48" s="3"/>
      <c r="C48" s="3"/>
      <c r="D48" s="108"/>
      <c r="E48" s="58"/>
      <c r="F48" s="58"/>
      <c r="G48" s="58"/>
      <c r="H48" s="58"/>
      <c r="I48" s="58"/>
      <c r="J48" s="58"/>
      <c r="K48" s="58"/>
      <c r="L48" s="58"/>
      <c r="M48" s="58"/>
      <c r="N48" s="58"/>
      <c r="O48" s="58"/>
      <c r="P48" s="58"/>
      <c r="Q48" s="3"/>
      <c r="R48" s="3"/>
      <c r="S48" s="3"/>
      <c r="T48" s="3"/>
      <c r="U48" s="3"/>
      <c r="V48" s="3"/>
    </row>
    <row r="49" ht="15.75" customHeight="1">
      <c r="A49" s="3"/>
      <c r="B49" s="3"/>
      <c r="C49" s="3"/>
      <c r="D49" s="108"/>
      <c r="E49" s="58"/>
      <c r="F49" s="58"/>
      <c r="G49" s="58"/>
      <c r="H49" s="58"/>
      <c r="I49" s="58"/>
      <c r="J49" s="58"/>
      <c r="K49" s="58"/>
      <c r="L49" s="58"/>
      <c r="M49" s="58"/>
      <c r="N49" s="58"/>
      <c r="O49" s="58"/>
      <c r="P49" s="58"/>
      <c r="Q49" s="3"/>
      <c r="R49" s="3"/>
      <c r="S49" s="3"/>
      <c r="T49" s="3"/>
      <c r="U49" s="3"/>
      <c r="V49" s="3"/>
    </row>
    <row r="50" ht="15.75" customHeight="1">
      <c r="A50" s="3"/>
      <c r="B50" s="3"/>
      <c r="C50" s="3"/>
      <c r="D50" s="108"/>
      <c r="E50" s="58"/>
      <c r="F50" s="58"/>
      <c r="G50" s="58"/>
      <c r="H50" s="58"/>
      <c r="I50" s="58"/>
      <c r="J50" s="58"/>
      <c r="K50" s="58"/>
      <c r="L50" s="58"/>
      <c r="M50" s="58"/>
      <c r="N50" s="58"/>
      <c r="O50" s="58"/>
      <c r="P50" s="58"/>
      <c r="Q50" s="3"/>
      <c r="R50" s="3"/>
      <c r="S50" s="3"/>
      <c r="T50" s="3"/>
      <c r="U50" s="3"/>
      <c r="V50" s="3"/>
    </row>
    <row r="51" ht="15.75" customHeight="1">
      <c r="A51" s="3"/>
      <c r="B51" s="3"/>
      <c r="C51" s="3"/>
      <c r="D51" s="108"/>
      <c r="E51" s="58"/>
      <c r="F51" s="58"/>
      <c r="G51" s="58"/>
      <c r="H51" s="58"/>
      <c r="I51" s="58"/>
      <c r="J51" s="58"/>
      <c r="K51" s="58"/>
      <c r="L51" s="58"/>
      <c r="M51" s="58"/>
      <c r="N51" s="58"/>
      <c r="O51" s="58"/>
      <c r="P51" s="58"/>
      <c r="Q51" s="3"/>
      <c r="R51" s="3"/>
      <c r="S51" s="3"/>
      <c r="T51" s="3"/>
      <c r="U51" s="3"/>
      <c r="V51" s="3"/>
    </row>
    <row r="52" ht="15.75" customHeight="1">
      <c r="A52" s="3"/>
      <c r="B52" s="3"/>
      <c r="C52" s="3"/>
      <c r="D52" s="108"/>
      <c r="E52" s="58"/>
      <c r="F52" s="58"/>
      <c r="G52" s="58"/>
      <c r="H52" s="58"/>
      <c r="I52" s="58"/>
      <c r="J52" s="58"/>
      <c r="K52" s="58"/>
      <c r="L52" s="58"/>
      <c r="M52" s="58"/>
      <c r="N52" s="58"/>
      <c r="O52" s="58"/>
      <c r="P52" s="58"/>
      <c r="Q52" s="3"/>
      <c r="R52" s="3"/>
      <c r="S52" s="3"/>
      <c r="T52" s="3"/>
      <c r="U52" s="3"/>
      <c r="V52" s="3"/>
    </row>
    <row r="53" ht="15.75" customHeight="1">
      <c r="A53" s="3"/>
      <c r="B53" s="3"/>
      <c r="C53" s="3"/>
      <c r="D53" s="108"/>
      <c r="E53" s="58"/>
      <c r="F53" s="58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3"/>
      <c r="R53" s="3"/>
      <c r="S53" s="3"/>
      <c r="T53" s="3"/>
      <c r="U53" s="3"/>
      <c r="V53" s="3"/>
    </row>
    <row r="54" ht="15.75" customHeight="1">
      <c r="A54" s="3"/>
      <c r="B54" s="3"/>
      <c r="C54" s="3"/>
      <c r="D54" s="108"/>
      <c r="E54" s="58"/>
      <c r="F54" s="58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3"/>
      <c r="R54" s="3"/>
      <c r="S54" s="3"/>
      <c r="T54" s="3"/>
      <c r="U54" s="3"/>
      <c r="V54" s="3"/>
    </row>
    <row r="55" ht="15.75" customHeight="1">
      <c r="A55" s="3"/>
      <c r="B55" s="3"/>
      <c r="C55" s="3"/>
      <c r="D55" s="108"/>
      <c r="E55" s="58"/>
      <c r="F55" s="58"/>
      <c r="G55" s="58"/>
      <c r="H55" s="58"/>
      <c r="I55" s="58"/>
      <c r="J55" s="58"/>
      <c r="K55" s="58"/>
      <c r="L55" s="58"/>
      <c r="M55" s="58"/>
      <c r="N55" s="58"/>
      <c r="O55" s="58"/>
      <c r="P55" s="58"/>
      <c r="Q55" s="3"/>
      <c r="R55" s="3"/>
      <c r="S55" s="3"/>
      <c r="T55" s="3"/>
      <c r="U55" s="3"/>
      <c r="V55" s="3"/>
    </row>
    <row r="56" ht="15.75" customHeight="1">
      <c r="A56" s="3"/>
      <c r="B56" s="3"/>
      <c r="C56" s="3"/>
      <c r="D56" s="108"/>
      <c r="E56" s="58"/>
      <c r="F56" s="58"/>
      <c r="G56" s="58"/>
      <c r="H56" s="58"/>
      <c r="I56" s="58"/>
      <c r="J56" s="58"/>
      <c r="K56" s="58"/>
      <c r="L56" s="58"/>
      <c r="M56" s="58"/>
      <c r="N56" s="58"/>
      <c r="O56" s="58"/>
      <c r="P56" s="58"/>
      <c r="Q56" s="3"/>
      <c r="R56" s="3"/>
      <c r="S56" s="3"/>
      <c r="T56" s="3"/>
      <c r="U56" s="3"/>
      <c r="V56" s="3"/>
    </row>
    <row r="57" ht="15.75" customHeight="1">
      <c r="A57" s="3"/>
      <c r="B57" s="3"/>
      <c r="C57" s="3"/>
      <c r="D57" s="108"/>
      <c r="E57" s="58"/>
      <c r="F57" s="58"/>
      <c r="G57" s="58"/>
      <c r="H57" s="58"/>
      <c r="I57" s="58"/>
      <c r="J57" s="58"/>
      <c r="K57" s="58"/>
      <c r="L57" s="58"/>
      <c r="M57" s="58"/>
      <c r="N57" s="58"/>
      <c r="O57" s="58"/>
      <c r="P57" s="58"/>
      <c r="Q57" s="3"/>
      <c r="R57" s="3"/>
      <c r="S57" s="3"/>
      <c r="T57" s="3"/>
      <c r="U57" s="3"/>
      <c r="V57" s="3"/>
    </row>
    <row r="58" ht="15.75" customHeight="1">
      <c r="A58" s="3"/>
      <c r="B58" s="3"/>
      <c r="C58" s="3"/>
      <c r="D58" s="108"/>
      <c r="E58" s="58"/>
      <c r="F58" s="58"/>
      <c r="G58" s="58"/>
      <c r="H58" s="58"/>
      <c r="I58" s="58"/>
      <c r="J58" s="58"/>
      <c r="K58" s="58"/>
      <c r="L58" s="58"/>
      <c r="M58" s="58"/>
      <c r="N58" s="58"/>
      <c r="O58" s="58"/>
      <c r="P58" s="58"/>
      <c r="Q58" s="3"/>
      <c r="R58" s="3"/>
      <c r="S58" s="3"/>
      <c r="T58" s="3"/>
      <c r="U58" s="3"/>
      <c r="V58" s="3"/>
    </row>
    <row r="59" ht="15.75" customHeight="1">
      <c r="A59" s="3"/>
      <c r="B59" s="3"/>
      <c r="C59" s="3"/>
      <c r="D59" s="108"/>
      <c r="E59" s="58"/>
      <c r="F59" s="58"/>
      <c r="G59" s="58"/>
      <c r="H59" s="58"/>
      <c r="I59" s="58"/>
      <c r="J59" s="58"/>
      <c r="K59" s="58"/>
      <c r="L59" s="58"/>
      <c r="M59" s="58"/>
      <c r="N59" s="58"/>
      <c r="O59" s="58"/>
      <c r="P59" s="58"/>
      <c r="Q59" s="3"/>
      <c r="R59" s="3"/>
      <c r="S59" s="3"/>
      <c r="T59" s="3"/>
      <c r="U59" s="3"/>
      <c r="V59" s="3"/>
    </row>
    <row r="60" ht="15.75" customHeight="1">
      <c r="A60" s="3"/>
      <c r="B60" s="3"/>
      <c r="C60" s="3"/>
      <c r="D60" s="10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58"/>
      <c r="P60" s="58"/>
      <c r="Q60" s="3"/>
      <c r="R60" s="3"/>
      <c r="S60" s="3"/>
      <c r="T60" s="3"/>
      <c r="U60" s="3"/>
      <c r="V60" s="3"/>
    </row>
    <row r="61" ht="15.75" customHeight="1">
      <c r="A61" s="3"/>
      <c r="B61" s="3"/>
      <c r="C61" s="3"/>
      <c r="D61" s="108"/>
      <c r="E61" s="58"/>
      <c r="F61" s="58"/>
      <c r="G61" s="58"/>
      <c r="H61" s="58"/>
      <c r="I61" s="58"/>
      <c r="J61" s="58"/>
      <c r="K61" s="58"/>
      <c r="L61" s="58"/>
      <c r="M61" s="58"/>
      <c r="N61" s="58"/>
      <c r="O61" s="58"/>
      <c r="P61" s="58"/>
      <c r="Q61" s="3"/>
      <c r="R61" s="3"/>
      <c r="S61" s="3"/>
      <c r="T61" s="3"/>
      <c r="U61" s="3"/>
      <c r="V61" s="3"/>
    </row>
    <row r="62" ht="15.75" customHeight="1">
      <c r="A62" s="3"/>
      <c r="B62" s="3"/>
      <c r="C62" s="3"/>
      <c r="D62" s="108"/>
      <c r="E62" s="58"/>
      <c r="F62" s="58"/>
      <c r="G62" s="58"/>
      <c r="H62" s="58"/>
      <c r="I62" s="58"/>
      <c r="J62" s="58"/>
      <c r="K62" s="58"/>
      <c r="L62" s="58"/>
      <c r="M62" s="58"/>
      <c r="N62" s="58"/>
      <c r="O62" s="58"/>
      <c r="P62" s="58"/>
      <c r="Q62" s="3"/>
      <c r="R62" s="3"/>
      <c r="S62" s="3"/>
      <c r="T62" s="3"/>
      <c r="U62" s="3"/>
      <c r="V62" s="3"/>
    </row>
    <row r="63" ht="15.75" customHeight="1">
      <c r="A63" s="3"/>
      <c r="B63" s="3"/>
      <c r="C63" s="3"/>
      <c r="D63" s="108"/>
      <c r="E63" s="58"/>
      <c r="F63" s="58"/>
      <c r="G63" s="58"/>
      <c r="H63" s="58"/>
      <c r="I63" s="58"/>
      <c r="J63" s="58"/>
      <c r="K63" s="58"/>
      <c r="L63" s="58"/>
      <c r="M63" s="58"/>
      <c r="N63" s="58"/>
      <c r="O63" s="58"/>
      <c r="P63" s="58"/>
      <c r="Q63" s="3"/>
      <c r="R63" s="3"/>
      <c r="S63" s="3"/>
      <c r="T63" s="3"/>
      <c r="U63" s="3"/>
      <c r="V63" s="3"/>
    </row>
    <row r="64" ht="15.75" customHeight="1">
      <c r="A64" s="3"/>
      <c r="B64" s="3"/>
      <c r="C64" s="3"/>
      <c r="D64" s="108"/>
      <c r="E64" s="58"/>
      <c r="F64" s="58"/>
      <c r="G64" s="58"/>
      <c r="H64" s="58"/>
      <c r="I64" s="58"/>
      <c r="J64" s="58"/>
      <c r="K64" s="58"/>
      <c r="L64" s="58"/>
      <c r="M64" s="58"/>
      <c r="N64" s="58"/>
      <c r="O64" s="58"/>
      <c r="P64" s="58"/>
      <c r="Q64" s="3"/>
      <c r="R64" s="3"/>
      <c r="S64" s="3"/>
      <c r="T64" s="3"/>
      <c r="U64" s="3"/>
      <c r="V64" s="3"/>
    </row>
    <row r="65" ht="15.75" customHeight="1">
      <c r="A65" s="3"/>
      <c r="B65" s="3"/>
      <c r="C65" s="3"/>
      <c r="D65" s="108"/>
      <c r="E65" s="58"/>
      <c r="F65" s="58"/>
      <c r="G65" s="58"/>
      <c r="H65" s="58"/>
      <c r="I65" s="58"/>
      <c r="J65" s="58"/>
      <c r="K65" s="58"/>
      <c r="L65" s="58"/>
      <c r="M65" s="58"/>
      <c r="N65" s="58"/>
      <c r="O65" s="58"/>
      <c r="P65" s="58"/>
      <c r="Q65" s="3"/>
      <c r="R65" s="3"/>
      <c r="S65" s="3"/>
      <c r="T65" s="3"/>
      <c r="U65" s="3"/>
      <c r="V65" s="3"/>
    </row>
    <row r="66" ht="15.75" customHeight="1">
      <c r="A66" s="3"/>
      <c r="B66" s="3"/>
      <c r="C66" s="3"/>
      <c r="D66" s="108"/>
      <c r="E66" s="58"/>
      <c r="F66" s="58"/>
      <c r="G66" s="58"/>
      <c r="H66" s="58"/>
      <c r="I66" s="58"/>
      <c r="J66" s="58"/>
      <c r="K66" s="58"/>
      <c r="L66" s="58"/>
      <c r="M66" s="58"/>
      <c r="N66" s="58"/>
      <c r="O66" s="58"/>
      <c r="P66" s="58"/>
      <c r="Q66" s="3"/>
      <c r="R66" s="3"/>
      <c r="S66" s="3"/>
      <c r="T66" s="3"/>
      <c r="U66" s="3"/>
      <c r="V66" s="3"/>
    </row>
    <row r="67" ht="15.75" customHeight="1">
      <c r="A67" s="3"/>
      <c r="B67" s="3"/>
      <c r="C67" s="3"/>
      <c r="D67" s="108"/>
      <c r="E67" s="58"/>
      <c r="F67" s="58"/>
      <c r="G67" s="58"/>
      <c r="H67" s="58"/>
      <c r="I67" s="58"/>
      <c r="J67" s="58"/>
      <c r="K67" s="58"/>
      <c r="L67" s="58"/>
      <c r="M67" s="58"/>
      <c r="N67" s="58"/>
      <c r="O67" s="58"/>
      <c r="P67" s="58"/>
      <c r="Q67" s="3"/>
      <c r="R67" s="3"/>
      <c r="S67" s="3"/>
      <c r="T67" s="3"/>
      <c r="U67" s="3"/>
      <c r="V67" s="3"/>
    </row>
    <row r="68" ht="15.75" customHeight="1">
      <c r="A68" s="3"/>
      <c r="B68" s="3"/>
      <c r="C68" s="3"/>
      <c r="D68" s="108"/>
      <c r="E68" s="58"/>
      <c r="F68" s="58"/>
      <c r="G68" s="58"/>
      <c r="H68" s="58"/>
      <c r="I68" s="58"/>
      <c r="J68" s="58"/>
      <c r="K68" s="58"/>
      <c r="L68" s="58"/>
      <c r="M68" s="58"/>
      <c r="N68" s="58"/>
      <c r="O68" s="58"/>
      <c r="P68" s="58"/>
      <c r="Q68" s="3"/>
      <c r="R68" s="3"/>
      <c r="S68" s="3"/>
      <c r="T68" s="3"/>
      <c r="U68" s="3"/>
      <c r="V68" s="3"/>
    </row>
    <row r="69" ht="15.75" customHeight="1">
      <c r="A69" s="3"/>
      <c r="B69" s="3"/>
      <c r="C69" s="3"/>
      <c r="D69" s="108"/>
      <c r="E69" s="58"/>
      <c r="F69" s="58"/>
      <c r="G69" s="58"/>
      <c r="H69" s="58"/>
      <c r="I69" s="58"/>
      <c r="J69" s="58"/>
      <c r="K69" s="58"/>
      <c r="L69" s="58"/>
      <c r="M69" s="58"/>
      <c r="N69" s="58"/>
      <c r="O69" s="58"/>
      <c r="P69" s="58"/>
      <c r="Q69" s="3"/>
      <c r="R69" s="3"/>
      <c r="S69" s="3"/>
      <c r="T69" s="3"/>
      <c r="U69" s="3"/>
      <c r="V69" s="3"/>
    </row>
    <row r="70" ht="15.75" customHeight="1">
      <c r="A70" s="3"/>
      <c r="B70" s="3"/>
      <c r="C70" s="3"/>
      <c r="D70" s="108"/>
      <c r="E70" s="58"/>
      <c r="F70" s="58"/>
      <c r="G70" s="58"/>
      <c r="H70" s="58"/>
      <c r="I70" s="58"/>
      <c r="J70" s="58"/>
      <c r="K70" s="58"/>
      <c r="L70" s="58"/>
      <c r="M70" s="58"/>
      <c r="N70" s="58"/>
      <c r="O70" s="58"/>
      <c r="P70" s="58"/>
      <c r="Q70" s="3"/>
      <c r="R70" s="3"/>
      <c r="S70" s="3"/>
      <c r="T70" s="3"/>
      <c r="U70" s="3"/>
      <c r="V70" s="3"/>
    </row>
    <row r="71" ht="15.75" customHeight="1">
      <c r="A71" s="3"/>
      <c r="B71" s="3"/>
      <c r="C71" s="3"/>
      <c r="D71" s="108"/>
      <c r="E71" s="58"/>
      <c r="F71" s="58"/>
      <c r="G71" s="58"/>
      <c r="H71" s="58"/>
      <c r="I71" s="58"/>
      <c r="J71" s="58"/>
      <c r="K71" s="58"/>
      <c r="L71" s="58"/>
      <c r="M71" s="58"/>
      <c r="N71" s="58"/>
      <c r="O71" s="58"/>
      <c r="P71" s="58"/>
      <c r="Q71" s="3"/>
      <c r="R71" s="3"/>
      <c r="S71" s="3"/>
      <c r="T71" s="3"/>
      <c r="U71" s="3"/>
      <c r="V71" s="3"/>
    </row>
    <row r="72" ht="15.75" customHeight="1">
      <c r="A72" s="3"/>
      <c r="B72" s="3"/>
      <c r="C72" s="3"/>
      <c r="D72" s="108"/>
      <c r="E72" s="58"/>
      <c r="F72" s="58"/>
      <c r="G72" s="58"/>
      <c r="H72" s="58"/>
      <c r="I72" s="58"/>
      <c r="J72" s="58"/>
      <c r="K72" s="58"/>
      <c r="L72" s="58"/>
      <c r="M72" s="58"/>
      <c r="N72" s="58"/>
      <c r="O72" s="58"/>
      <c r="P72" s="58"/>
      <c r="Q72" s="3"/>
      <c r="R72" s="3"/>
      <c r="S72" s="3"/>
      <c r="T72" s="3"/>
      <c r="U72" s="3"/>
      <c r="V72" s="3"/>
    </row>
    <row r="73" ht="15.75" customHeight="1">
      <c r="A73" s="3"/>
      <c r="B73" s="3"/>
      <c r="C73" s="3"/>
      <c r="D73" s="108"/>
      <c r="E73" s="58"/>
      <c r="F73" s="58"/>
      <c r="G73" s="58"/>
      <c r="H73" s="58"/>
      <c r="I73" s="58"/>
      <c r="J73" s="58"/>
      <c r="K73" s="58"/>
      <c r="L73" s="58"/>
      <c r="M73" s="58"/>
      <c r="N73" s="58"/>
      <c r="O73" s="58"/>
      <c r="P73" s="58"/>
      <c r="Q73" s="3"/>
      <c r="R73" s="3"/>
      <c r="S73" s="3"/>
      <c r="T73" s="3"/>
      <c r="U73" s="3"/>
      <c r="V73" s="3"/>
    </row>
    <row r="74" ht="15.75" customHeight="1">
      <c r="A74" s="3"/>
      <c r="B74" s="3"/>
      <c r="C74" s="3"/>
      <c r="D74" s="108"/>
      <c r="E74" s="58"/>
      <c r="F74" s="58"/>
      <c r="G74" s="58"/>
      <c r="H74" s="58"/>
      <c r="I74" s="58"/>
      <c r="J74" s="58"/>
      <c r="K74" s="58"/>
      <c r="L74" s="58"/>
      <c r="M74" s="58"/>
      <c r="N74" s="58"/>
      <c r="O74" s="58"/>
      <c r="P74" s="58"/>
      <c r="Q74" s="3"/>
      <c r="R74" s="3"/>
      <c r="S74" s="3"/>
      <c r="T74" s="3"/>
      <c r="U74" s="3"/>
      <c r="V74" s="3"/>
    </row>
    <row r="75" ht="15.75" customHeight="1">
      <c r="A75" s="3"/>
      <c r="B75" s="3"/>
      <c r="C75" s="3"/>
      <c r="D75" s="108"/>
      <c r="E75" s="58"/>
      <c r="F75" s="58"/>
      <c r="G75" s="58"/>
      <c r="H75" s="58"/>
      <c r="I75" s="58"/>
      <c r="J75" s="58"/>
      <c r="K75" s="58"/>
      <c r="L75" s="58"/>
      <c r="M75" s="58"/>
      <c r="N75" s="58"/>
      <c r="O75" s="58"/>
      <c r="P75" s="58"/>
      <c r="Q75" s="3"/>
      <c r="R75" s="3"/>
      <c r="S75" s="3"/>
      <c r="T75" s="3"/>
      <c r="U75" s="3"/>
      <c r="V75" s="3"/>
    </row>
    <row r="76" ht="15.75" customHeight="1">
      <c r="A76" s="3"/>
      <c r="B76" s="3"/>
      <c r="C76" s="3"/>
      <c r="D76" s="108"/>
      <c r="E76" s="58"/>
      <c r="F76" s="58"/>
      <c r="G76" s="58"/>
      <c r="H76" s="58"/>
      <c r="I76" s="58"/>
      <c r="J76" s="58"/>
      <c r="K76" s="58"/>
      <c r="L76" s="58"/>
      <c r="M76" s="58"/>
      <c r="N76" s="58"/>
      <c r="O76" s="58"/>
      <c r="P76" s="58"/>
      <c r="Q76" s="3"/>
      <c r="R76" s="3"/>
      <c r="S76" s="3"/>
      <c r="T76" s="3"/>
      <c r="U76" s="3"/>
      <c r="V76" s="3"/>
    </row>
    <row r="77" ht="15.75" customHeight="1">
      <c r="A77" s="3"/>
      <c r="B77" s="3"/>
      <c r="C77" s="3"/>
      <c r="D77" s="108"/>
      <c r="E77" s="58"/>
      <c r="F77" s="58"/>
      <c r="G77" s="58"/>
      <c r="H77" s="58"/>
      <c r="I77" s="58"/>
      <c r="J77" s="58"/>
      <c r="K77" s="58"/>
      <c r="L77" s="58"/>
      <c r="M77" s="58"/>
      <c r="N77" s="58"/>
      <c r="O77" s="58"/>
      <c r="P77" s="58"/>
      <c r="Q77" s="3"/>
      <c r="R77" s="3"/>
      <c r="S77" s="3"/>
      <c r="T77" s="3"/>
      <c r="U77" s="3"/>
      <c r="V77" s="3"/>
    </row>
    <row r="78" ht="15.75" customHeight="1">
      <c r="A78" s="3"/>
      <c r="B78" s="3"/>
      <c r="C78" s="3"/>
      <c r="D78" s="108"/>
      <c r="E78" s="58"/>
      <c r="F78" s="58"/>
      <c r="G78" s="58"/>
      <c r="H78" s="58"/>
      <c r="I78" s="58"/>
      <c r="J78" s="58"/>
      <c r="K78" s="58"/>
      <c r="L78" s="58"/>
      <c r="M78" s="58"/>
      <c r="N78" s="58"/>
      <c r="O78" s="58"/>
      <c r="P78" s="58"/>
      <c r="Q78" s="3"/>
      <c r="R78" s="3"/>
      <c r="S78" s="3"/>
      <c r="T78" s="3"/>
      <c r="U78" s="3"/>
      <c r="V78" s="3"/>
    </row>
    <row r="79" ht="15.75" customHeight="1">
      <c r="A79" s="3"/>
      <c r="B79" s="3"/>
      <c r="C79" s="3"/>
      <c r="D79" s="108"/>
      <c r="E79" s="58"/>
      <c r="F79" s="58"/>
      <c r="G79" s="58"/>
      <c r="H79" s="58"/>
      <c r="I79" s="58"/>
      <c r="J79" s="58"/>
      <c r="K79" s="58"/>
      <c r="L79" s="58"/>
      <c r="M79" s="58"/>
      <c r="N79" s="58"/>
      <c r="O79" s="58"/>
      <c r="P79" s="58"/>
      <c r="Q79" s="3"/>
      <c r="R79" s="3"/>
      <c r="S79" s="3"/>
      <c r="T79" s="3"/>
      <c r="U79" s="3"/>
      <c r="V79" s="3"/>
    </row>
    <row r="80" ht="15.75" customHeight="1">
      <c r="A80" s="3"/>
      <c r="B80" s="3"/>
      <c r="C80" s="3"/>
      <c r="D80" s="108"/>
      <c r="E80" s="58"/>
      <c r="F80" s="58"/>
      <c r="G80" s="58"/>
      <c r="H80" s="58"/>
      <c r="I80" s="58"/>
      <c r="J80" s="58"/>
      <c r="K80" s="58"/>
      <c r="L80" s="58"/>
      <c r="M80" s="58"/>
      <c r="N80" s="58"/>
      <c r="O80" s="58"/>
      <c r="P80" s="58"/>
      <c r="Q80" s="3"/>
      <c r="R80" s="3"/>
      <c r="S80" s="3"/>
      <c r="T80" s="3"/>
      <c r="U80" s="3"/>
      <c r="V80" s="3"/>
    </row>
    <row r="81" ht="15.75" customHeight="1">
      <c r="A81" s="3"/>
      <c r="B81" s="3"/>
      <c r="C81" s="3"/>
      <c r="D81" s="108"/>
      <c r="E81" s="58"/>
      <c r="F81" s="58"/>
      <c r="G81" s="58"/>
      <c r="H81" s="58"/>
      <c r="I81" s="58"/>
      <c r="J81" s="58"/>
      <c r="K81" s="58"/>
      <c r="L81" s="58"/>
      <c r="M81" s="58"/>
      <c r="N81" s="58"/>
      <c r="O81" s="58"/>
      <c r="P81" s="58"/>
      <c r="Q81" s="3"/>
      <c r="R81" s="3"/>
      <c r="S81" s="3"/>
      <c r="T81" s="3"/>
      <c r="U81" s="3"/>
      <c r="V81" s="3"/>
    </row>
    <row r="82" ht="15.75" customHeight="1">
      <c r="A82" s="3"/>
      <c r="B82" s="3"/>
      <c r="C82" s="3"/>
      <c r="D82" s="108"/>
      <c r="E82" s="58"/>
      <c r="F82" s="58"/>
      <c r="G82" s="58"/>
      <c r="H82" s="58"/>
      <c r="I82" s="58"/>
      <c r="J82" s="58"/>
      <c r="K82" s="58"/>
      <c r="L82" s="58"/>
      <c r="M82" s="58"/>
      <c r="N82" s="58"/>
      <c r="O82" s="58"/>
      <c r="P82" s="58"/>
      <c r="Q82" s="3"/>
      <c r="R82" s="3"/>
      <c r="S82" s="3"/>
      <c r="T82" s="3"/>
      <c r="U82" s="3"/>
      <c r="V82" s="3"/>
    </row>
    <row r="83" ht="15.75" customHeight="1">
      <c r="A83" s="3"/>
      <c r="B83" s="3"/>
      <c r="C83" s="3"/>
      <c r="D83" s="108"/>
      <c r="E83" s="58"/>
      <c r="F83" s="58"/>
      <c r="G83" s="58"/>
      <c r="H83" s="58"/>
      <c r="I83" s="58"/>
      <c r="J83" s="58"/>
      <c r="K83" s="58"/>
      <c r="L83" s="58"/>
      <c r="M83" s="58"/>
      <c r="N83" s="58"/>
      <c r="O83" s="58"/>
      <c r="P83" s="58"/>
      <c r="Q83" s="3"/>
      <c r="R83" s="3"/>
      <c r="S83" s="3"/>
      <c r="T83" s="3"/>
      <c r="U83" s="3"/>
      <c r="V83" s="3"/>
    </row>
    <row r="84" ht="15.75" customHeight="1">
      <c r="A84" s="3"/>
      <c r="B84" s="3"/>
      <c r="C84" s="3"/>
      <c r="D84" s="108"/>
      <c r="E84" s="58"/>
      <c r="F84" s="58"/>
      <c r="G84" s="58"/>
      <c r="H84" s="58"/>
      <c r="I84" s="58"/>
      <c r="J84" s="58"/>
      <c r="K84" s="58"/>
      <c r="L84" s="58"/>
      <c r="M84" s="58"/>
      <c r="N84" s="58"/>
      <c r="O84" s="58"/>
      <c r="P84" s="58"/>
      <c r="Q84" s="3"/>
      <c r="R84" s="3"/>
      <c r="S84" s="3"/>
      <c r="T84" s="3"/>
      <c r="U84" s="3"/>
      <c r="V84" s="3"/>
    </row>
    <row r="85" ht="15.75" customHeight="1">
      <c r="A85" s="3"/>
      <c r="B85" s="3"/>
      <c r="C85" s="3"/>
      <c r="D85" s="108"/>
      <c r="E85" s="58"/>
      <c r="F85" s="58"/>
      <c r="G85" s="58"/>
      <c r="H85" s="58"/>
      <c r="I85" s="58"/>
      <c r="J85" s="58"/>
      <c r="K85" s="58"/>
      <c r="L85" s="58"/>
      <c r="M85" s="58"/>
      <c r="N85" s="58"/>
      <c r="O85" s="58"/>
      <c r="P85" s="58"/>
      <c r="Q85" s="3"/>
      <c r="R85" s="3"/>
      <c r="S85" s="3"/>
      <c r="T85" s="3"/>
      <c r="U85" s="3"/>
      <c r="V85" s="3"/>
    </row>
    <row r="86" ht="15.75" customHeight="1">
      <c r="A86" s="3"/>
      <c r="B86" s="3"/>
      <c r="C86" s="3"/>
      <c r="D86" s="108"/>
      <c r="E86" s="58"/>
      <c r="F86" s="58"/>
      <c r="G86" s="58"/>
      <c r="H86" s="58"/>
      <c r="I86" s="58"/>
      <c r="J86" s="58"/>
      <c r="K86" s="58"/>
      <c r="L86" s="58"/>
      <c r="M86" s="58"/>
      <c r="N86" s="58"/>
      <c r="O86" s="58"/>
      <c r="P86" s="58"/>
      <c r="Q86" s="3"/>
      <c r="R86" s="3"/>
      <c r="S86" s="3"/>
      <c r="T86" s="3"/>
      <c r="U86" s="3"/>
      <c r="V86" s="3"/>
    </row>
    <row r="87" ht="15.75" customHeight="1">
      <c r="A87" s="3"/>
      <c r="B87" s="3"/>
      <c r="C87" s="3"/>
      <c r="D87" s="108"/>
      <c r="E87" s="58"/>
      <c r="F87" s="58"/>
      <c r="G87" s="58"/>
      <c r="H87" s="58"/>
      <c r="I87" s="58"/>
      <c r="J87" s="58"/>
      <c r="K87" s="58"/>
      <c r="L87" s="58"/>
      <c r="M87" s="58"/>
      <c r="N87" s="58"/>
      <c r="O87" s="58"/>
      <c r="P87" s="58"/>
      <c r="Q87" s="3"/>
      <c r="R87" s="3"/>
      <c r="S87" s="3"/>
      <c r="T87" s="3"/>
      <c r="U87" s="3"/>
      <c r="V87" s="3"/>
    </row>
    <row r="88" ht="15.75" customHeight="1">
      <c r="A88" s="3"/>
      <c r="B88" s="3"/>
      <c r="C88" s="3"/>
      <c r="D88" s="108"/>
      <c r="E88" s="58"/>
      <c r="F88" s="58"/>
      <c r="G88" s="58"/>
      <c r="H88" s="58"/>
      <c r="I88" s="58"/>
      <c r="J88" s="58"/>
      <c r="K88" s="58"/>
      <c r="L88" s="58"/>
      <c r="M88" s="58"/>
      <c r="N88" s="58"/>
      <c r="O88" s="58"/>
      <c r="P88" s="58"/>
      <c r="Q88" s="3"/>
      <c r="R88" s="3"/>
      <c r="S88" s="3"/>
      <c r="T88" s="3"/>
      <c r="U88" s="3"/>
      <c r="V88" s="3"/>
    </row>
    <row r="89" ht="15.75" customHeight="1">
      <c r="A89" s="3"/>
      <c r="B89" s="3"/>
      <c r="C89" s="3"/>
      <c r="D89" s="108"/>
      <c r="E89" s="58"/>
      <c r="F89" s="58"/>
      <c r="G89" s="58"/>
      <c r="H89" s="58"/>
      <c r="I89" s="58"/>
      <c r="J89" s="58"/>
      <c r="K89" s="58"/>
      <c r="L89" s="58"/>
      <c r="M89" s="58"/>
      <c r="N89" s="58"/>
      <c r="O89" s="58"/>
      <c r="P89" s="58"/>
      <c r="Q89" s="3"/>
      <c r="R89" s="3"/>
      <c r="S89" s="3"/>
      <c r="T89" s="3"/>
      <c r="U89" s="3"/>
      <c r="V89" s="3"/>
    </row>
    <row r="90" ht="15.75" customHeight="1">
      <c r="A90" s="3"/>
      <c r="B90" s="3"/>
      <c r="C90" s="3"/>
      <c r="D90" s="108"/>
      <c r="E90" s="58"/>
      <c r="F90" s="58"/>
      <c r="G90" s="58"/>
      <c r="H90" s="58"/>
      <c r="I90" s="58"/>
      <c r="J90" s="58"/>
      <c r="K90" s="58"/>
      <c r="L90" s="58"/>
      <c r="M90" s="58"/>
      <c r="N90" s="58"/>
      <c r="O90" s="58"/>
      <c r="P90" s="58"/>
      <c r="Q90" s="3"/>
      <c r="R90" s="3"/>
      <c r="S90" s="3"/>
      <c r="T90" s="3"/>
      <c r="U90" s="3"/>
      <c r="V90" s="3"/>
    </row>
    <row r="91" ht="15.75" customHeight="1">
      <c r="A91" s="3"/>
      <c r="B91" s="3"/>
      <c r="C91" s="3"/>
      <c r="D91" s="108"/>
      <c r="E91" s="58"/>
      <c r="F91" s="58"/>
      <c r="G91" s="58"/>
      <c r="H91" s="58"/>
      <c r="I91" s="58"/>
      <c r="J91" s="58"/>
      <c r="K91" s="58"/>
      <c r="L91" s="58"/>
      <c r="M91" s="58"/>
      <c r="N91" s="58"/>
      <c r="O91" s="58"/>
      <c r="P91" s="58"/>
      <c r="Q91" s="3"/>
      <c r="R91" s="3"/>
      <c r="S91" s="3"/>
      <c r="T91" s="3"/>
      <c r="U91" s="3"/>
      <c r="V91" s="3"/>
    </row>
    <row r="92" ht="15.75" customHeight="1">
      <c r="A92" s="3"/>
      <c r="B92" s="3"/>
      <c r="C92" s="3"/>
      <c r="D92" s="108"/>
      <c r="E92" s="58"/>
      <c r="F92" s="58"/>
      <c r="G92" s="58"/>
      <c r="H92" s="58"/>
      <c r="I92" s="58"/>
      <c r="J92" s="58"/>
      <c r="K92" s="58"/>
      <c r="L92" s="58"/>
      <c r="M92" s="58"/>
      <c r="N92" s="58"/>
      <c r="O92" s="58"/>
      <c r="P92" s="58"/>
      <c r="Q92" s="3"/>
      <c r="R92" s="3"/>
      <c r="S92" s="3"/>
      <c r="T92" s="3"/>
      <c r="U92" s="3"/>
      <c r="V92" s="3"/>
    </row>
    <row r="93" ht="15.75" customHeight="1">
      <c r="A93" s="3"/>
      <c r="B93" s="3"/>
      <c r="C93" s="3"/>
      <c r="D93" s="108"/>
      <c r="E93" s="58"/>
      <c r="F93" s="58"/>
      <c r="G93" s="58"/>
      <c r="H93" s="58"/>
      <c r="I93" s="58"/>
      <c r="J93" s="58"/>
      <c r="K93" s="58"/>
      <c r="L93" s="58"/>
      <c r="M93" s="58"/>
      <c r="N93" s="58"/>
      <c r="O93" s="58"/>
      <c r="P93" s="58"/>
      <c r="Q93" s="3"/>
      <c r="R93" s="3"/>
      <c r="S93" s="3"/>
      <c r="T93" s="3"/>
      <c r="U93" s="3"/>
      <c r="V93" s="3"/>
    </row>
    <row r="94" ht="15.75" customHeight="1">
      <c r="A94" s="3"/>
      <c r="B94" s="3"/>
      <c r="C94" s="3"/>
      <c r="D94" s="108"/>
      <c r="E94" s="58"/>
      <c r="F94" s="58"/>
      <c r="G94" s="58"/>
      <c r="H94" s="58"/>
      <c r="I94" s="58"/>
      <c r="J94" s="58"/>
      <c r="K94" s="58"/>
      <c r="L94" s="58"/>
      <c r="M94" s="58"/>
      <c r="N94" s="58"/>
      <c r="O94" s="58"/>
      <c r="P94" s="58"/>
      <c r="Q94" s="3"/>
      <c r="R94" s="3"/>
      <c r="S94" s="3"/>
      <c r="T94" s="3"/>
      <c r="U94" s="3"/>
      <c r="V94" s="3"/>
    </row>
    <row r="95" ht="15.75" customHeight="1">
      <c r="A95" s="3"/>
      <c r="B95" s="3"/>
      <c r="C95" s="3"/>
      <c r="D95" s="108"/>
      <c r="E95" s="58"/>
      <c r="F95" s="58"/>
      <c r="G95" s="58"/>
      <c r="H95" s="58"/>
      <c r="I95" s="58"/>
      <c r="J95" s="58"/>
      <c r="K95" s="58"/>
      <c r="L95" s="58"/>
      <c r="M95" s="58"/>
      <c r="N95" s="58"/>
      <c r="O95" s="58"/>
      <c r="P95" s="58"/>
      <c r="Q95" s="3"/>
      <c r="R95" s="3"/>
      <c r="S95" s="3"/>
      <c r="T95" s="3"/>
      <c r="U95" s="3"/>
      <c r="V95" s="3"/>
    </row>
    <row r="96" ht="15.75" customHeight="1">
      <c r="A96" s="3"/>
      <c r="B96" s="3"/>
      <c r="C96" s="3"/>
      <c r="D96" s="108"/>
      <c r="E96" s="58"/>
      <c r="F96" s="58"/>
      <c r="G96" s="58"/>
      <c r="H96" s="58"/>
      <c r="I96" s="58"/>
      <c r="J96" s="58"/>
      <c r="K96" s="58"/>
      <c r="L96" s="58"/>
      <c r="M96" s="58"/>
      <c r="N96" s="58"/>
      <c r="O96" s="58"/>
      <c r="P96" s="58"/>
      <c r="Q96" s="3"/>
      <c r="R96" s="3"/>
      <c r="S96" s="3"/>
      <c r="T96" s="3"/>
      <c r="U96" s="3"/>
      <c r="V96" s="3"/>
    </row>
    <row r="97" ht="15.75" customHeight="1">
      <c r="A97" s="3"/>
      <c r="B97" s="3"/>
      <c r="C97" s="3"/>
      <c r="D97" s="108"/>
      <c r="E97" s="58"/>
      <c r="F97" s="58"/>
      <c r="G97" s="58"/>
      <c r="H97" s="58"/>
      <c r="I97" s="58"/>
      <c r="J97" s="58"/>
      <c r="K97" s="58"/>
      <c r="L97" s="58"/>
      <c r="M97" s="58"/>
      <c r="N97" s="58"/>
      <c r="O97" s="58"/>
      <c r="P97" s="58"/>
      <c r="Q97" s="3"/>
      <c r="R97" s="3"/>
      <c r="S97" s="3"/>
      <c r="T97" s="3"/>
      <c r="U97" s="3"/>
      <c r="V97" s="3"/>
    </row>
    <row r="98" ht="15.75" customHeight="1">
      <c r="A98" s="3"/>
      <c r="B98" s="3"/>
      <c r="C98" s="3"/>
      <c r="D98" s="10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58"/>
      <c r="P98" s="58"/>
      <c r="Q98" s="3"/>
      <c r="R98" s="3"/>
      <c r="S98" s="3"/>
      <c r="T98" s="3"/>
      <c r="U98" s="3"/>
      <c r="V98" s="3"/>
    </row>
    <row r="99" ht="15.75" customHeight="1">
      <c r="A99" s="3"/>
      <c r="B99" s="3"/>
      <c r="C99" s="3"/>
      <c r="D99" s="108"/>
      <c r="E99" s="58"/>
      <c r="F99" s="58"/>
      <c r="G99" s="58"/>
      <c r="H99" s="58"/>
      <c r="I99" s="58"/>
      <c r="J99" s="58"/>
      <c r="K99" s="58"/>
      <c r="L99" s="58"/>
      <c r="M99" s="58"/>
      <c r="N99" s="58"/>
      <c r="O99" s="58"/>
      <c r="P99" s="58"/>
      <c r="Q99" s="3"/>
      <c r="R99" s="3"/>
      <c r="S99" s="3"/>
      <c r="T99" s="3"/>
      <c r="U99" s="3"/>
      <c r="V99" s="3"/>
    </row>
    <row r="100" ht="15.75" customHeight="1">
      <c r="A100" s="3"/>
      <c r="B100" s="3"/>
      <c r="C100" s="3"/>
      <c r="D100" s="108"/>
      <c r="E100" s="58"/>
      <c r="F100" s="58"/>
      <c r="G100" s="58"/>
      <c r="H100" s="58"/>
      <c r="I100" s="58"/>
      <c r="J100" s="58"/>
      <c r="K100" s="58"/>
      <c r="L100" s="58"/>
      <c r="M100" s="58"/>
      <c r="N100" s="58"/>
      <c r="O100" s="58"/>
      <c r="P100" s="58"/>
      <c r="Q100" s="3"/>
      <c r="R100" s="3"/>
      <c r="S100" s="3"/>
      <c r="T100" s="3"/>
      <c r="U100" s="3"/>
      <c r="V100" s="3"/>
    </row>
    <row r="101" ht="15.75" customHeight="1">
      <c r="A101" s="3"/>
      <c r="B101" s="3"/>
      <c r="C101" s="3"/>
      <c r="D101" s="108"/>
      <c r="E101" s="58"/>
      <c r="F101" s="58"/>
      <c r="G101" s="58"/>
      <c r="H101" s="58"/>
      <c r="I101" s="58"/>
      <c r="J101" s="58"/>
      <c r="K101" s="58"/>
      <c r="L101" s="58"/>
      <c r="M101" s="58"/>
      <c r="N101" s="58"/>
      <c r="O101" s="58"/>
      <c r="P101" s="58"/>
      <c r="Q101" s="3"/>
      <c r="R101" s="3"/>
      <c r="S101" s="3"/>
      <c r="T101" s="3"/>
      <c r="U101" s="3"/>
      <c r="V101" s="3"/>
    </row>
    <row r="102" ht="15.75" customHeight="1">
      <c r="A102" s="3"/>
      <c r="B102" s="3"/>
      <c r="C102" s="3"/>
      <c r="D102" s="108"/>
      <c r="E102" s="58"/>
      <c r="F102" s="58"/>
      <c r="G102" s="58"/>
      <c r="H102" s="58"/>
      <c r="I102" s="58"/>
      <c r="J102" s="58"/>
      <c r="K102" s="58"/>
      <c r="L102" s="58"/>
      <c r="M102" s="58"/>
      <c r="N102" s="58"/>
      <c r="O102" s="58"/>
      <c r="P102" s="58"/>
      <c r="Q102" s="3"/>
      <c r="R102" s="3"/>
      <c r="S102" s="3"/>
      <c r="T102" s="3"/>
      <c r="U102" s="3"/>
      <c r="V102" s="3"/>
    </row>
    <row r="103" ht="15.75" customHeight="1">
      <c r="A103" s="3"/>
      <c r="B103" s="3"/>
      <c r="C103" s="3"/>
      <c r="D103" s="108"/>
      <c r="E103" s="58"/>
      <c r="F103" s="58"/>
      <c r="G103" s="58"/>
      <c r="H103" s="58"/>
      <c r="I103" s="58"/>
      <c r="J103" s="58"/>
      <c r="K103" s="58"/>
      <c r="L103" s="58"/>
      <c r="M103" s="58"/>
      <c r="N103" s="58"/>
      <c r="O103" s="58"/>
      <c r="P103" s="58"/>
      <c r="Q103" s="3"/>
      <c r="R103" s="3"/>
      <c r="S103" s="3"/>
      <c r="T103" s="3"/>
      <c r="U103" s="3"/>
      <c r="V103" s="3"/>
    </row>
    <row r="104" ht="15.75" customHeight="1">
      <c r="A104" s="3"/>
      <c r="B104" s="3"/>
      <c r="C104" s="3"/>
      <c r="D104" s="108"/>
      <c r="E104" s="58"/>
      <c r="F104" s="58"/>
      <c r="G104" s="58"/>
      <c r="H104" s="58"/>
      <c r="I104" s="58"/>
      <c r="J104" s="58"/>
      <c r="K104" s="58"/>
      <c r="L104" s="58"/>
      <c r="M104" s="58"/>
      <c r="N104" s="58"/>
      <c r="O104" s="58"/>
      <c r="P104" s="58"/>
      <c r="Q104" s="3"/>
      <c r="R104" s="3"/>
      <c r="S104" s="3"/>
      <c r="T104" s="3"/>
      <c r="U104" s="3"/>
      <c r="V104" s="3"/>
    </row>
    <row r="105" ht="15.75" customHeight="1">
      <c r="A105" s="3"/>
      <c r="B105" s="3"/>
      <c r="C105" s="3"/>
      <c r="D105" s="108"/>
      <c r="E105" s="58"/>
      <c r="F105" s="58"/>
      <c r="G105" s="58"/>
      <c r="H105" s="58"/>
      <c r="I105" s="58"/>
      <c r="J105" s="58"/>
      <c r="K105" s="58"/>
      <c r="L105" s="58"/>
      <c r="M105" s="58"/>
      <c r="N105" s="58"/>
      <c r="O105" s="58"/>
      <c r="P105" s="58"/>
      <c r="Q105" s="3"/>
      <c r="R105" s="3"/>
      <c r="S105" s="3"/>
      <c r="T105" s="3"/>
      <c r="U105" s="3"/>
      <c r="V105" s="3"/>
    </row>
    <row r="106" ht="15.75" customHeight="1">
      <c r="A106" s="3"/>
      <c r="B106" s="3"/>
      <c r="C106" s="3"/>
      <c r="D106" s="108"/>
      <c r="E106" s="58"/>
      <c r="F106" s="58"/>
      <c r="G106" s="58"/>
      <c r="H106" s="58"/>
      <c r="I106" s="58"/>
      <c r="J106" s="58"/>
      <c r="K106" s="58"/>
      <c r="L106" s="58"/>
      <c r="M106" s="58"/>
      <c r="N106" s="58"/>
      <c r="O106" s="58"/>
      <c r="P106" s="58"/>
      <c r="Q106" s="3"/>
      <c r="R106" s="3"/>
      <c r="S106" s="3"/>
      <c r="T106" s="3"/>
      <c r="U106" s="3"/>
      <c r="V106" s="3"/>
    </row>
    <row r="107" ht="15.75" customHeight="1">
      <c r="A107" s="3"/>
      <c r="B107" s="3"/>
      <c r="C107" s="3"/>
      <c r="D107" s="108"/>
      <c r="E107" s="58"/>
      <c r="F107" s="58"/>
      <c r="G107" s="58"/>
      <c r="H107" s="58"/>
      <c r="I107" s="58"/>
      <c r="J107" s="58"/>
      <c r="K107" s="58"/>
      <c r="L107" s="58"/>
      <c r="M107" s="58"/>
      <c r="N107" s="58"/>
      <c r="O107" s="58"/>
      <c r="P107" s="58"/>
      <c r="Q107" s="3"/>
      <c r="R107" s="3"/>
      <c r="S107" s="3"/>
      <c r="T107" s="3"/>
      <c r="U107" s="3"/>
      <c r="V107" s="3"/>
    </row>
    <row r="108" ht="15.75" customHeight="1">
      <c r="A108" s="3"/>
      <c r="B108" s="3"/>
      <c r="C108" s="3"/>
      <c r="D108" s="108"/>
      <c r="E108" s="58"/>
      <c r="F108" s="58"/>
      <c r="G108" s="58"/>
      <c r="H108" s="58"/>
      <c r="I108" s="58"/>
      <c r="J108" s="58"/>
      <c r="K108" s="58"/>
      <c r="L108" s="58"/>
      <c r="M108" s="58"/>
      <c r="N108" s="58"/>
      <c r="O108" s="58"/>
      <c r="P108" s="58"/>
      <c r="Q108" s="3"/>
      <c r="R108" s="3"/>
      <c r="S108" s="3"/>
      <c r="T108" s="3"/>
      <c r="U108" s="3"/>
      <c r="V108" s="3"/>
    </row>
    <row r="109" ht="15.75" customHeight="1">
      <c r="A109" s="3"/>
      <c r="B109" s="3"/>
      <c r="C109" s="3"/>
      <c r="D109" s="108"/>
      <c r="E109" s="58"/>
      <c r="F109" s="58"/>
      <c r="G109" s="58"/>
      <c r="H109" s="58"/>
      <c r="I109" s="58"/>
      <c r="J109" s="58"/>
      <c r="K109" s="58"/>
      <c r="L109" s="58"/>
      <c r="M109" s="58"/>
      <c r="N109" s="58"/>
      <c r="O109" s="58"/>
      <c r="P109" s="58"/>
      <c r="Q109" s="3"/>
      <c r="R109" s="3"/>
      <c r="S109" s="3"/>
      <c r="T109" s="3"/>
      <c r="U109" s="3"/>
      <c r="V109" s="3"/>
    </row>
    <row r="110" ht="15.75" customHeight="1">
      <c r="A110" s="3"/>
      <c r="B110" s="3"/>
      <c r="C110" s="3"/>
      <c r="D110" s="108"/>
      <c r="E110" s="58"/>
      <c r="F110" s="58"/>
      <c r="G110" s="58"/>
      <c r="H110" s="58"/>
      <c r="I110" s="58"/>
      <c r="J110" s="58"/>
      <c r="K110" s="58"/>
      <c r="L110" s="58"/>
      <c r="M110" s="58"/>
      <c r="N110" s="58"/>
      <c r="O110" s="58"/>
      <c r="P110" s="58"/>
      <c r="Q110" s="3"/>
      <c r="R110" s="3"/>
      <c r="S110" s="3"/>
      <c r="T110" s="3"/>
      <c r="U110" s="3"/>
      <c r="V110" s="3"/>
    </row>
    <row r="111" ht="15.75" customHeight="1">
      <c r="A111" s="3"/>
      <c r="B111" s="3"/>
      <c r="C111" s="3"/>
      <c r="D111" s="108"/>
      <c r="E111" s="58"/>
      <c r="F111" s="58"/>
      <c r="G111" s="58"/>
      <c r="H111" s="58"/>
      <c r="I111" s="58"/>
      <c r="J111" s="58"/>
      <c r="K111" s="58"/>
      <c r="L111" s="58"/>
      <c r="M111" s="58"/>
      <c r="N111" s="58"/>
      <c r="O111" s="58"/>
      <c r="P111" s="58"/>
      <c r="Q111" s="3"/>
      <c r="R111" s="3"/>
      <c r="S111" s="3"/>
      <c r="T111" s="3"/>
      <c r="U111" s="3"/>
      <c r="V111" s="3"/>
    </row>
    <row r="112" ht="15.75" customHeight="1">
      <c r="A112" s="3"/>
      <c r="B112" s="3"/>
      <c r="C112" s="3"/>
      <c r="D112" s="108"/>
      <c r="E112" s="58"/>
      <c r="F112" s="58"/>
      <c r="G112" s="58"/>
      <c r="H112" s="58"/>
      <c r="I112" s="58"/>
      <c r="J112" s="58"/>
      <c r="K112" s="58"/>
      <c r="L112" s="58"/>
      <c r="M112" s="58"/>
      <c r="N112" s="58"/>
      <c r="O112" s="58"/>
      <c r="P112" s="58"/>
      <c r="Q112" s="3"/>
      <c r="R112" s="3"/>
      <c r="S112" s="3"/>
      <c r="T112" s="3"/>
      <c r="U112" s="3"/>
      <c r="V112" s="3"/>
    </row>
    <row r="113" ht="15.75" customHeight="1">
      <c r="A113" s="3"/>
      <c r="B113" s="3"/>
      <c r="C113" s="3"/>
      <c r="D113" s="108"/>
      <c r="E113" s="58"/>
      <c r="F113" s="58"/>
      <c r="G113" s="58"/>
      <c r="H113" s="58"/>
      <c r="I113" s="58"/>
      <c r="J113" s="58"/>
      <c r="K113" s="58"/>
      <c r="L113" s="58"/>
      <c r="M113" s="58"/>
      <c r="N113" s="58"/>
      <c r="O113" s="58"/>
      <c r="P113" s="58"/>
      <c r="Q113" s="3"/>
      <c r="R113" s="3"/>
      <c r="S113" s="3"/>
      <c r="T113" s="3"/>
      <c r="U113" s="3"/>
      <c r="V113" s="3"/>
    </row>
    <row r="114" ht="15.75" customHeight="1">
      <c r="A114" s="3"/>
      <c r="B114" s="3"/>
      <c r="C114" s="3"/>
      <c r="D114" s="108"/>
      <c r="E114" s="58"/>
      <c r="F114" s="58"/>
      <c r="G114" s="58"/>
      <c r="H114" s="58"/>
      <c r="I114" s="58"/>
      <c r="J114" s="58"/>
      <c r="K114" s="58"/>
      <c r="L114" s="58"/>
      <c r="M114" s="58"/>
      <c r="N114" s="58"/>
      <c r="O114" s="58"/>
      <c r="P114" s="58"/>
      <c r="Q114" s="3"/>
      <c r="R114" s="3"/>
      <c r="S114" s="3"/>
      <c r="T114" s="3"/>
      <c r="U114" s="3"/>
      <c r="V114" s="3"/>
    </row>
    <row r="115" ht="15.75" customHeight="1">
      <c r="A115" s="3"/>
      <c r="B115" s="3"/>
      <c r="C115" s="3"/>
      <c r="D115" s="108"/>
      <c r="E115" s="58"/>
      <c r="F115" s="58"/>
      <c r="G115" s="58"/>
      <c r="H115" s="58"/>
      <c r="I115" s="58"/>
      <c r="J115" s="58"/>
      <c r="K115" s="58"/>
      <c r="L115" s="58"/>
      <c r="M115" s="58"/>
      <c r="N115" s="58"/>
      <c r="O115" s="58"/>
      <c r="P115" s="58"/>
      <c r="Q115" s="3"/>
      <c r="R115" s="3"/>
      <c r="S115" s="3"/>
      <c r="T115" s="3"/>
      <c r="U115" s="3"/>
      <c r="V115" s="3"/>
    </row>
    <row r="116" ht="15.75" customHeight="1">
      <c r="A116" s="3"/>
      <c r="B116" s="3"/>
      <c r="C116" s="3"/>
      <c r="D116" s="108"/>
      <c r="E116" s="58"/>
      <c r="F116" s="58"/>
      <c r="G116" s="58"/>
      <c r="H116" s="58"/>
      <c r="I116" s="58"/>
      <c r="J116" s="58"/>
      <c r="K116" s="58"/>
      <c r="L116" s="58"/>
      <c r="M116" s="58"/>
      <c r="N116" s="58"/>
      <c r="O116" s="58"/>
      <c r="P116" s="58"/>
      <c r="Q116" s="3"/>
      <c r="R116" s="3"/>
      <c r="S116" s="3"/>
      <c r="T116" s="3"/>
      <c r="U116" s="3"/>
      <c r="V116" s="3"/>
    </row>
    <row r="117" ht="15.75" customHeight="1">
      <c r="A117" s="3"/>
      <c r="B117" s="3"/>
      <c r="C117" s="3"/>
      <c r="D117" s="108"/>
      <c r="E117" s="58"/>
      <c r="F117" s="58"/>
      <c r="G117" s="58"/>
      <c r="H117" s="58"/>
      <c r="I117" s="58"/>
      <c r="J117" s="58"/>
      <c r="K117" s="58"/>
      <c r="L117" s="58"/>
      <c r="M117" s="58"/>
      <c r="N117" s="58"/>
      <c r="O117" s="58"/>
      <c r="P117" s="58"/>
      <c r="Q117" s="3"/>
      <c r="R117" s="3"/>
      <c r="S117" s="3"/>
      <c r="T117" s="3"/>
      <c r="U117" s="3"/>
      <c r="V117" s="3"/>
    </row>
    <row r="118" ht="15.75" customHeight="1">
      <c r="A118" s="3"/>
      <c r="B118" s="3"/>
      <c r="C118" s="3"/>
      <c r="D118" s="108"/>
      <c r="E118" s="58"/>
      <c r="F118" s="58"/>
      <c r="G118" s="58"/>
      <c r="H118" s="58"/>
      <c r="I118" s="58"/>
      <c r="J118" s="58"/>
      <c r="K118" s="58"/>
      <c r="L118" s="58"/>
      <c r="M118" s="58"/>
      <c r="N118" s="58"/>
      <c r="O118" s="58"/>
      <c r="P118" s="58"/>
      <c r="Q118" s="3"/>
      <c r="R118" s="3"/>
      <c r="S118" s="3"/>
      <c r="T118" s="3"/>
      <c r="U118" s="3"/>
      <c r="V118" s="3"/>
    </row>
    <row r="119" ht="15.75" customHeight="1">
      <c r="A119" s="3"/>
      <c r="B119" s="3"/>
      <c r="C119" s="3"/>
      <c r="D119" s="108"/>
      <c r="E119" s="58"/>
      <c r="F119" s="58"/>
      <c r="G119" s="58"/>
      <c r="H119" s="58"/>
      <c r="I119" s="58"/>
      <c r="J119" s="58"/>
      <c r="K119" s="58"/>
      <c r="L119" s="58"/>
      <c r="M119" s="58"/>
      <c r="N119" s="58"/>
      <c r="O119" s="58"/>
      <c r="P119" s="58"/>
      <c r="Q119" s="3"/>
      <c r="R119" s="3"/>
      <c r="S119" s="3"/>
      <c r="T119" s="3"/>
      <c r="U119" s="3"/>
      <c r="V119" s="3"/>
    </row>
    <row r="120" ht="15.75" customHeight="1">
      <c r="A120" s="3"/>
      <c r="B120" s="3"/>
      <c r="C120" s="3"/>
      <c r="D120" s="108"/>
      <c r="E120" s="58"/>
      <c r="F120" s="58"/>
      <c r="G120" s="58"/>
      <c r="H120" s="58"/>
      <c r="I120" s="58"/>
      <c r="J120" s="58"/>
      <c r="K120" s="58"/>
      <c r="L120" s="58"/>
      <c r="M120" s="58"/>
      <c r="N120" s="58"/>
      <c r="O120" s="58"/>
      <c r="P120" s="58"/>
      <c r="Q120" s="3"/>
      <c r="R120" s="3"/>
      <c r="S120" s="3"/>
      <c r="T120" s="3"/>
      <c r="U120" s="3"/>
      <c r="V120" s="3"/>
    </row>
    <row r="121" ht="15.75" customHeight="1">
      <c r="A121" s="3"/>
      <c r="B121" s="3"/>
      <c r="C121" s="3"/>
      <c r="D121" s="108"/>
      <c r="E121" s="58"/>
      <c r="F121" s="58"/>
      <c r="G121" s="58"/>
      <c r="H121" s="58"/>
      <c r="I121" s="58"/>
      <c r="J121" s="58"/>
      <c r="K121" s="58"/>
      <c r="L121" s="58"/>
      <c r="M121" s="58"/>
      <c r="N121" s="58"/>
      <c r="O121" s="58"/>
      <c r="P121" s="58"/>
      <c r="Q121" s="3"/>
      <c r="R121" s="3"/>
      <c r="S121" s="3"/>
      <c r="T121" s="3"/>
      <c r="U121" s="3"/>
      <c r="V121" s="3"/>
    </row>
    <row r="122" ht="15.75" customHeight="1">
      <c r="A122" s="3"/>
      <c r="B122" s="3"/>
      <c r="C122" s="3"/>
      <c r="D122" s="108"/>
      <c r="E122" s="58"/>
      <c r="F122" s="58"/>
      <c r="G122" s="58"/>
      <c r="H122" s="58"/>
      <c r="I122" s="58"/>
      <c r="J122" s="58"/>
      <c r="K122" s="58"/>
      <c r="L122" s="58"/>
      <c r="M122" s="58"/>
      <c r="N122" s="58"/>
      <c r="O122" s="58"/>
      <c r="P122" s="58"/>
      <c r="Q122" s="3"/>
      <c r="R122" s="3"/>
      <c r="S122" s="3"/>
      <c r="T122" s="3"/>
      <c r="U122" s="3"/>
      <c r="V122" s="3"/>
    </row>
    <row r="123" ht="15.75" customHeight="1">
      <c r="A123" s="3"/>
      <c r="B123" s="3"/>
      <c r="C123" s="3"/>
      <c r="D123" s="108"/>
      <c r="E123" s="58"/>
      <c r="F123" s="58"/>
      <c r="G123" s="58"/>
      <c r="H123" s="58"/>
      <c r="I123" s="58"/>
      <c r="J123" s="58"/>
      <c r="K123" s="58"/>
      <c r="L123" s="58"/>
      <c r="M123" s="58"/>
      <c r="N123" s="58"/>
      <c r="O123" s="58"/>
      <c r="P123" s="58"/>
      <c r="Q123" s="3"/>
      <c r="R123" s="3"/>
      <c r="S123" s="3"/>
      <c r="T123" s="3"/>
      <c r="U123" s="3"/>
      <c r="V123" s="3"/>
    </row>
    <row r="124" ht="15.75" customHeight="1">
      <c r="A124" s="3"/>
      <c r="B124" s="3"/>
      <c r="C124" s="3"/>
      <c r="D124" s="108"/>
      <c r="E124" s="58"/>
      <c r="F124" s="58"/>
      <c r="G124" s="58"/>
      <c r="H124" s="58"/>
      <c r="I124" s="58"/>
      <c r="J124" s="58"/>
      <c r="K124" s="58"/>
      <c r="L124" s="58"/>
      <c r="M124" s="58"/>
      <c r="N124" s="58"/>
      <c r="O124" s="58"/>
      <c r="P124" s="58"/>
      <c r="Q124" s="3"/>
      <c r="R124" s="3"/>
      <c r="S124" s="3"/>
      <c r="T124" s="3"/>
      <c r="U124" s="3"/>
      <c r="V124" s="3"/>
    </row>
    <row r="125" ht="15.75" customHeight="1">
      <c r="A125" s="3"/>
      <c r="B125" s="3"/>
      <c r="C125" s="3"/>
      <c r="D125" s="108"/>
      <c r="E125" s="58"/>
      <c r="F125" s="58"/>
      <c r="G125" s="58"/>
      <c r="H125" s="58"/>
      <c r="I125" s="58"/>
      <c r="J125" s="58"/>
      <c r="K125" s="58"/>
      <c r="L125" s="58"/>
      <c r="M125" s="58"/>
      <c r="N125" s="58"/>
      <c r="O125" s="58"/>
      <c r="P125" s="58"/>
      <c r="Q125" s="3"/>
      <c r="R125" s="3"/>
      <c r="S125" s="3"/>
      <c r="T125" s="3"/>
      <c r="U125" s="3"/>
      <c r="V125" s="3"/>
    </row>
    <row r="126" ht="15.75" customHeight="1">
      <c r="A126" s="3"/>
      <c r="B126" s="3"/>
      <c r="C126" s="3"/>
      <c r="D126" s="108"/>
      <c r="E126" s="58"/>
      <c r="F126" s="58"/>
      <c r="G126" s="58"/>
      <c r="H126" s="58"/>
      <c r="I126" s="58"/>
      <c r="J126" s="58"/>
      <c r="K126" s="58"/>
      <c r="L126" s="58"/>
      <c r="M126" s="58"/>
      <c r="N126" s="58"/>
      <c r="O126" s="58"/>
      <c r="P126" s="58"/>
      <c r="Q126" s="3"/>
      <c r="R126" s="3"/>
      <c r="S126" s="3"/>
      <c r="T126" s="3"/>
      <c r="U126" s="3"/>
      <c r="V126" s="3"/>
    </row>
    <row r="127" ht="15.75" customHeight="1">
      <c r="A127" s="3"/>
      <c r="B127" s="3"/>
      <c r="C127" s="3"/>
      <c r="D127" s="108"/>
      <c r="E127" s="58"/>
      <c r="F127" s="58"/>
      <c r="G127" s="58"/>
      <c r="H127" s="58"/>
      <c r="I127" s="58"/>
      <c r="J127" s="58"/>
      <c r="K127" s="58"/>
      <c r="L127" s="58"/>
      <c r="M127" s="58"/>
      <c r="N127" s="58"/>
      <c r="O127" s="58"/>
      <c r="P127" s="58"/>
      <c r="Q127" s="3"/>
      <c r="R127" s="3"/>
      <c r="S127" s="3"/>
      <c r="T127" s="3"/>
      <c r="U127" s="3"/>
      <c r="V127" s="3"/>
    </row>
    <row r="128" ht="15.75" customHeight="1">
      <c r="A128" s="3"/>
      <c r="B128" s="3"/>
      <c r="C128" s="3"/>
      <c r="D128" s="108"/>
      <c r="E128" s="58"/>
      <c r="F128" s="58"/>
      <c r="G128" s="58"/>
      <c r="H128" s="58"/>
      <c r="I128" s="58"/>
      <c r="J128" s="58"/>
      <c r="K128" s="58"/>
      <c r="L128" s="58"/>
      <c r="M128" s="58"/>
      <c r="N128" s="58"/>
      <c r="O128" s="58"/>
      <c r="P128" s="58"/>
      <c r="Q128" s="3"/>
      <c r="R128" s="3"/>
      <c r="S128" s="3"/>
      <c r="T128" s="3"/>
      <c r="U128" s="3"/>
      <c r="V128" s="3"/>
    </row>
    <row r="129" ht="15.75" customHeight="1">
      <c r="A129" s="3"/>
      <c r="B129" s="3"/>
      <c r="C129" s="3"/>
      <c r="D129" s="108"/>
      <c r="E129" s="58"/>
      <c r="F129" s="58"/>
      <c r="G129" s="58"/>
      <c r="H129" s="58"/>
      <c r="I129" s="58"/>
      <c r="J129" s="58"/>
      <c r="K129" s="58"/>
      <c r="L129" s="58"/>
      <c r="M129" s="58"/>
      <c r="N129" s="58"/>
      <c r="O129" s="58"/>
      <c r="P129" s="58"/>
      <c r="Q129" s="3"/>
      <c r="R129" s="3"/>
      <c r="S129" s="3"/>
      <c r="T129" s="3"/>
      <c r="U129" s="3"/>
      <c r="V129" s="3"/>
    </row>
    <row r="130" ht="15.75" customHeight="1">
      <c r="A130" s="3"/>
      <c r="B130" s="3"/>
      <c r="C130" s="3"/>
      <c r="D130" s="108"/>
      <c r="E130" s="58"/>
      <c r="F130" s="58"/>
      <c r="G130" s="58"/>
      <c r="H130" s="58"/>
      <c r="I130" s="58"/>
      <c r="J130" s="58"/>
      <c r="K130" s="58"/>
      <c r="L130" s="58"/>
      <c r="M130" s="58"/>
      <c r="N130" s="58"/>
      <c r="O130" s="58"/>
      <c r="P130" s="58"/>
      <c r="Q130" s="3"/>
      <c r="R130" s="3"/>
      <c r="S130" s="3"/>
      <c r="T130" s="3"/>
      <c r="U130" s="3"/>
      <c r="V130" s="3"/>
    </row>
    <row r="131" ht="15.75" customHeight="1">
      <c r="A131" s="3"/>
      <c r="B131" s="3"/>
      <c r="C131" s="3"/>
      <c r="D131" s="108"/>
      <c r="E131" s="58"/>
      <c r="F131" s="58"/>
      <c r="G131" s="58"/>
      <c r="H131" s="58"/>
      <c r="I131" s="58"/>
      <c r="J131" s="58"/>
      <c r="K131" s="58"/>
      <c r="L131" s="58"/>
      <c r="M131" s="58"/>
      <c r="N131" s="58"/>
      <c r="O131" s="58"/>
      <c r="P131" s="58"/>
      <c r="Q131" s="3"/>
      <c r="R131" s="3"/>
      <c r="S131" s="3"/>
      <c r="T131" s="3"/>
      <c r="U131" s="3"/>
      <c r="V131" s="3"/>
    </row>
    <row r="132" ht="15.75" customHeight="1">
      <c r="A132" s="3"/>
      <c r="B132" s="3"/>
      <c r="C132" s="3"/>
      <c r="D132" s="108"/>
      <c r="E132" s="58"/>
      <c r="F132" s="58"/>
      <c r="G132" s="58"/>
      <c r="H132" s="58"/>
      <c r="I132" s="58"/>
      <c r="J132" s="58"/>
      <c r="K132" s="58"/>
      <c r="L132" s="58"/>
      <c r="M132" s="58"/>
      <c r="N132" s="58"/>
      <c r="O132" s="58"/>
      <c r="P132" s="58"/>
      <c r="Q132" s="3"/>
      <c r="R132" s="3"/>
      <c r="S132" s="3"/>
      <c r="T132" s="3"/>
      <c r="U132" s="3"/>
      <c r="V132" s="3"/>
    </row>
    <row r="133" ht="15.75" customHeight="1">
      <c r="A133" s="3"/>
      <c r="B133" s="3"/>
      <c r="C133" s="3"/>
      <c r="D133" s="108"/>
      <c r="E133" s="58"/>
      <c r="F133" s="58"/>
      <c r="G133" s="58"/>
      <c r="H133" s="58"/>
      <c r="I133" s="58"/>
      <c r="J133" s="58"/>
      <c r="K133" s="58"/>
      <c r="L133" s="58"/>
      <c r="M133" s="58"/>
      <c r="N133" s="58"/>
      <c r="O133" s="58"/>
      <c r="P133" s="58"/>
      <c r="Q133" s="3"/>
      <c r="R133" s="3"/>
      <c r="S133" s="3"/>
      <c r="T133" s="3"/>
      <c r="U133" s="3"/>
      <c r="V133" s="3"/>
    </row>
    <row r="134" ht="15.75" customHeight="1">
      <c r="A134" s="3"/>
      <c r="B134" s="3"/>
      <c r="C134" s="3"/>
      <c r="D134" s="108"/>
      <c r="E134" s="58"/>
      <c r="F134" s="58"/>
      <c r="G134" s="58"/>
      <c r="H134" s="58"/>
      <c r="I134" s="58"/>
      <c r="J134" s="58"/>
      <c r="K134" s="58"/>
      <c r="L134" s="58"/>
      <c r="M134" s="58"/>
      <c r="N134" s="58"/>
      <c r="O134" s="58"/>
      <c r="P134" s="58"/>
      <c r="Q134" s="3"/>
      <c r="R134" s="3"/>
      <c r="S134" s="3"/>
      <c r="T134" s="3"/>
      <c r="U134" s="3"/>
      <c r="V134" s="3"/>
    </row>
    <row r="135" ht="15.75" customHeight="1">
      <c r="A135" s="3"/>
      <c r="B135" s="3"/>
      <c r="C135" s="3"/>
      <c r="D135" s="108"/>
      <c r="E135" s="58"/>
      <c r="F135" s="58"/>
      <c r="G135" s="58"/>
      <c r="H135" s="58"/>
      <c r="I135" s="58"/>
      <c r="J135" s="58"/>
      <c r="K135" s="58"/>
      <c r="L135" s="58"/>
      <c r="M135" s="58"/>
      <c r="N135" s="58"/>
      <c r="O135" s="58"/>
      <c r="P135" s="58"/>
      <c r="Q135" s="3"/>
      <c r="R135" s="3"/>
      <c r="S135" s="3"/>
      <c r="T135" s="3"/>
      <c r="U135" s="3"/>
      <c r="V135" s="3"/>
    </row>
    <row r="136" ht="15.75" customHeight="1">
      <c r="A136" s="3"/>
      <c r="B136" s="3"/>
      <c r="C136" s="3"/>
      <c r="D136" s="10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58"/>
      <c r="P136" s="58"/>
      <c r="Q136" s="3"/>
      <c r="R136" s="3"/>
      <c r="S136" s="3"/>
      <c r="T136" s="3"/>
      <c r="U136" s="3"/>
      <c r="V136" s="3"/>
    </row>
    <row r="137" ht="15.75" customHeight="1">
      <c r="A137" s="3"/>
      <c r="B137" s="3"/>
      <c r="C137" s="3"/>
      <c r="D137" s="108"/>
      <c r="E137" s="58"/>
      <c r="F137" s="58"/>
      <c r="G137" s="58"/>
      <c r="H137" s="58"/>
      <c r="I137" s="58"/>
      <c r="J137" s="58"/>
      <c r="K137" s="58"/>
      <c r="L137" s="58"/>
      <c r="M137" s="58"/>
      <c r="N137" s="58"/>
      <c r="O137" s="58"/>
      <c r="P137" s="58"/>
      <c r="Q137" s="3"/>
      <c r="R137" s="3"/>
      <c r="S137" s="3"/>
      <c r="T137" s="3"/>
      <c r="U137" s="3"/>
      <c r="V137" s="3"/>
    </row>
    <row r="138" ht="15.75" customHeight="1">
      <c r="A138" s="3"/>
      <c r="B138" s="3"/>
      <c r="C138" s="3"/>
      <c r="D138" s="108"/>
      <c r="E138" s="58"/>
      <c r="F138" s="58"/>
      <c r="G138" s="58"/>
      <c r="H138" s="58"/>
      <c r="I138" s="58"/>
      <c r="J138" s="58"/>
      <c r="K138" s="58"/>
      <c r="L138" s="58"/>
      <c r="M138" s="58"/>
      <c r="N138" s="58"/>
      <c r="O138" s="58"/>
      <c r="P138" s="58"/>
      <c r="Q138" s="3"/>
      <c r="R138" s="3"/>
      <c r="S138" s="3"/>
      <c r="T138" s="3"/>
      <c r="U138" s="3"/>
      <c r="V138" s="3"/>
    </row>
    <row r="139" ht="15.75" customHeight="1">
      <c r="A139" s="3"/>
      <c r="B139" s="3"/>
      <c r="C139" s="3"/>
      <c r="D139" s="108"/>
      <c r="E139" s="58"/>
      <c r="F139" s="58"/>
      <c r="G139" s="58"/>
      <c r="H139" s="58"/>
      <c r="I139" s="58"/>
      <c r="J139" s="58"/>
      <c r="K139" s="58"/>
      <c r="L139" s="58"/>
      <c r="M139" s="58"/>
      <c r="N139" s="58"/>
      <c r="O139" s="58"/>
      <c r="P139" s="58"/>
      <c r="Q139" s="3"/>
      <c r="R139" s="3"/>
      <c r="S139" s="3"/>
      <c r="T139" s="3"/>
      <c r="U139" s="3"/>
      <c r="V139" s="3"/>
    </row>
    <row r="140" ht="15.75" customHeight="1">
      <c r="A140" s="3"/>
      <c r="B140" s="3"/>
      <c r="C140" s="3"/>
      <c r="D140" s="108"/>
      <c r="E140" s="58"/>
      <c r="F140" s="58"/>
      <c r="G140" s="58"/>
      <c r="H140" s="58"/>
      <c r="I140" s="58"/>
      <c r="J140" s="58"/>
      <c r="K140" s="58"/>
      <c r="L140" s="58"/>
      <c r="M140" s="58"/>
      <c r="N140" s="58"/>
      <c r="O140" s="58"/>
      <c r="P140" s="58"/>
      <c r="Q140" s="3"/>
      <c r="R140" s="3"/>
      <c r="S140" s="3"/>
      <c r="T140" s="3"/>
      <c r="U140" s="3"/>
      <c r="V140" s="3"/>
    </row>
    <row r="141" ht="15.75" customHeight="1">
      <c r="A141" s="3"/>
      <c r="B141" s="3"/>
      <c r="C141" s="3"/>
      <c r="D141" s="108"/>
      <c r="E141" s="58"/>
      <c r="F141" s="58"/>
      <c r="G141" s="58"/>
      <c r="H141" s="58"/>
      <c r="I141" s="58"/>
      <c r="J141" s="58"/>
      <c r="K141" s="58"/>
      <c r="L141" s="58"/>
      <c r="M141" s="58"/>
      <c r="N141" s="58"/>
      <c r="O141" s="58"/>
      <c r="P141" s="58"/>
      <c r="Q141" s="3"/>
      <c r="R141" s="3"/>
      <c r="S141" s="3"/>
      <c r="T141" s="3"/>
      <c r="U141" s="3"/>
      <c r="V141" s="3"/>
    </row>
    <row r="142" ht="15.75" customHeight="1">
      <c r="A142" s="3"/>
      <c r="B142" s="3"/>
      <c r="C142" s="3"/>
      <c r="D142" s="108"/>
      <c r="E142" s="58"/>
      <c r="F142" s="58"/>
      <c r="G142" s="58"/>
      <c r="H142" s="58"/>
      <c r="I142" s="58"/>
      <c r="J142" s="58"/>
      <c r="K142" s="58"/>
      <c r="L142" s="58"/>
      <c r="M142" s="58"/>
      <c r="N142" s="58"/>
      <c r="O142" s="58"/>
      <c r="P142" s="58"/>
      <c r="Q142" s="3"/>
      <c r="R142" s="3"/>
      <c r="S142" s="3"/>
      <c r="T142" s="3"/>
      <c r="U142" s="3"/>
      <c r="V142" s="3"/>
    </row>
    <row r="143" ht="15.75" customHeight="1">
      <c r="A143" s="3"/>
      <c r="B143" s="3"/>
      <c r="C143" s="3"/>
      <c r="D143" s="108"/>
      <c r="E143" s="58"/>
      <c r="F143" s="58"/>
      <c r="G143" s="58"/>
      <c r="H143" s="58"/>
      <c r="I143" s="58"/>
      <c r="J143" s="58"/>
      <c r="K143" s="58"/>
      <c r="L143" s="58"/>
      <c r="M143" s="58"/>
      <c r="N143" s="58"/>
      <c r="O143" s="58"/>
      <c r="P143" s="58"/>
      <c r="Q143" s="3"/>
      <c r="R143" s="3"/>
      <c r="S143" s="3"/>
      <c r="T143" s="3"/>
      <c r="U143" s="3"/>
      <c r="V143" s="3"/>
    </row>
    <row r="144" ht="15.75" customHeight="1">
      <c r="A144" s="3"/>
      <c r="B144" s="3"/>
      <c r="C144" s="3"/>
      <c r="D144" s="108"/>
      <c r="E144" s="58"/>
      <c r="F144" s="58"/>
      <c r="G144" s="58"/>
      <c r="H144" s="58"/>
      <c r="I144" s="58"/>
      <c r="J144" s="58"/>
      <c r="K144" s="58"/>
      <c r="L144" s="58"/>
      <c r="M144" s="58"/>
      <c r="N144" s="58"/>
      <c r="O144" s="58"/>
      <c r="P144" s="58"/>
      <c r="Q144" s="3"/>
      <c r="R144" s="3"/>
      <c r="S144" s="3"/>
      <c r="T144" s="3"/>
      <c r="U144" s="3"/>
      <c r="V144" s="3"/>
    </row>
    <row r="145" ht="15.75" customHeight="1">
      <c r="A145" s="3"/>
      <c r="B145" s="3"/>
      <c r="C145" s="3"/>
      <c r="D145" s="108"/>
      <c r="E145" s="58"/>
      <c r="F145" s="58"/>
      <c r="G145" s="58"/>
      <c r="H145" s="58"/>
      <c r="I145" s="58"/>
      <c r="J145" s="58"/>
      <c r="K145" s="58"/>
      <c r="L145" s="58"/>
      <c r="M145" s="58"/>
      <c r="N145" s="58"/>
      <c r="O145" s="58"/>
      <c r="P145" s="58"/>
      <c r="Q145" s="3"/>
      <c r="R145" s="3"/>
      <c r="S145" s="3"/>
      <c r="T145" s="3"/>
      <c r="U145" s="3"/>
      <c r="V145" s="3"/>
    </row>
    <row r="146" ht="15.75" customHeight="1">
      <c r="A146" s="3"/>
      <c r="B146" s="3"/>
      <c r="C146" s="3"/>
      <c r="D146" s="108"/>
      <c r="E146" s="58"/>
      <c r="F146" s="58"/>
      <c r="G146" s="58"/>
      <c r="H146" s="58"/>
      <c r="I146" s="58"/>
      <c r="J146" s="58"/>
      <c r="K146" s="58"/>
      <c r="L146" s="58"/>
      <c r="M146" s="58"/>
      <c r="N146" s="58"/>
      <c r="O146" s="58"/>
      <c r="P146" s="58"/>
      <c r="Q146" s="3"/>
      <c r="R146" s="3"/>
      <c r="S146" s="3"/>
      <c r="T146" s="3"/>
      <c r="U146" s="3"/>
      <c r="V146" s="3"/>
    </row>
    <row r="147" ht="15.75" customHeight="1">
      <c r="A147" s="3"/>
      <c r="B147" s="3"/>
      <c r="C147" s="3"/>
      <c r="D147" s="108"/>
      <c r="E147" s="58"/>
      <c r="F147" s="58"/>
      <c r="G147" s="58"/>
      <c r="H147" s="58"/>
      <c r="I147" s="58"/>
      <c r="J147" s="58"/>
      <c r="K147" s="58"/>
      <c r="L147" s="58"/>
      <c r="M147" s="58"/>
      <c r="N147" s="58"/>
      <c r="O147" s="58"/>
      <c r="P147" s="58"/>
      <c r="Q147" s="3"/>
      <c r="R147" s="3"/>
      <c r="S147" s="3"/>
      <c r="T147" s="3"/>
      <c r="U147" s="3"/>
      <c r="V147" s="3"/>
    </row>
    <row r="148" ht="15.75" customHeight="1">
      <c r="A148" s="3"/>
      <c r="B148" s="3"/>
      <c r="C148" s="3"/>
      <c r="D148" s="108"/>
      <c r="E148" s="58"/>
      <c r="F148" s="58"/>
      <c r="G148" s="58"/>
      <c r="H148" s="58"/>
      <c r="I148" s="58"/>
      <c r="J148" s="58"/>
      <c r="K148" s="58"/>
      <c r="L148" s="58"/>
      <c r="M148" s="58"/>
      <c r="N148" s="58"/>
      <c r="O148" s="58"/>
      <c r="P148" s="58"/>
      <c r="Q148" s="3"/>
      <c r="R148" s="3"/>
      <c r="S148" s="3"/>
      <c r="T148" s="3"/>
      <c r="U148" s="3"/>
      <c r="V148" s="3"/>
    </row>
    <row r="149" ht="15.75" customHeight="1">
      <c r="A149" s="3"/>
      <c r="B149" s="3"/>
      <c r="C149" s="3"/>
      <c r="D149" s="108"/>
      <c r="E149" s="58"/>
      <c r="F149" s="58"/>
      <c r="G149" s="58"/>
      <c r="H149" s="58"/>
      <c r="I149" s="58"/>
      <c r="J149" s="58"/>
      <c r="K149" s="58"/>
      <c r="L149" s="58"/>
      <c r="M149" s="58"/>
      <c r="N149" s="58"/>
      <c r="O149" s="58"/>
      <c r="P149" s="58"/>
      <c r="Q149" s="3"/>
      <c r="R149" s="3"/>
      <c r="S149" s="3"/>
      <c r="T149" s="3"/>
      <c r="U149" s="3"/>
      <c r="V149" s="3"/>
    </row>
    <row r="150" ht="15.75" customHeight="1">
      <c r="A150" s="3"/>
      <c r="B150" s="3"/>
      <c r="C150" s="3"/>
      <c r="D150" s="108"/>
      <c r="E150" s="58"/>
      <c r="F150" s="58"/>
      <c r="G150" s="58"/>
      <c r="H150" s="58"/>
      <c r="I150" s="58"/>
      <c r="J150" s="58"/>
      <c r="K150" s="58"/>
      <c r="L150" s="58"/>
      <c r="M150" s="58"/>
      <c r="N150" s="58"/>
      <c r="O150" s="58"/>
      <c r="P150" s="58"/>
      <c r="Q150" s="3"/>
      <c r="R150" s="3"/>
      <c r="S150" s="3"/>
      <c r="T150" s="3"/>
      <c r="U150" s="3"/>
      <c r="V150" s="3"/>
    </row>
    <row r="151" ht="15.75" customHeight="1">
      <c r="A151" s="3"/>
      <c r="B151" s="3"/>
      <c r="C151" s="3"/>
      <c r="D151" s="108"/>
      <c r="E151" s="58"/>
      <c r="F151" s="58"/>
      <c r="G151" s="58"/>
      <c r="H151" s="58"/>
      <c r="I151" s="58"/>
      <c r="J151" s="58"/>
      <c r="K151" s="58"/>
      <c r="L151" s="58"/>
      <c r="M151" s="58"/>
      <c r="N151" s="58"/>
      <c r="O151" s="58"/>
      <c r="P151" s="58"/>
      <c r="Q151" s="3"/>
      <c r="R151" s="3"/>
      <c r="S151" s="3"/>
      <c r="T151" s="3"/>
      <c r="U151" s="3"/>
      <c r="V151" s="3"/>
    </row>
    <row r="152" ht="15.75" customHeight="1">
      <c r="A152" s="3"/>
      <c r="B152" s="3"/>
      <c r="C152" s="3"/>
      <c r="D152" s="108"/>
      <c r="E152" s="58"/>
      <c r="F152" s="58"/>
      <c r="G152" s="58"/>
      <c r="H152" s="58"/>
      <c r="I152" s="58"/>
      <c r="J152" s="58"/>
      <c r="K152" s="58"/>
      <c r="L152" s="58"/>
      <c r="M152" s="58"/>
      <c r="N152" s="58"/>
      <c r="O152" s="58"/>
      <c r="P152" s="58"/>
      <c r="Q152" s="3"/>
      <c r="R152" s="3"/>
      <c r="S152" s="3"/>
      <c r="T152" s="3"/>
      <c r="U152" s="3"/>
      <c r="V152" s="3"/>
    </row>
    <row r="153" ht="15.75" customHeight="1">
      <c r="A153" s="3"/>
      <c r="B153" s="3"/>
      <c r="C153" s="3"/>
      <c r="D153" s="108"/>
      <c r="E153" s="58"/>
      <c r="F153" s="58"/>
      <c r="G153" s="58"/>
      <c r="H153" s="58"/>
      <c r="I153" s="58"/>
      <c r="J153" s="58"/>
      <c r="K153" s="58"/>
      <c r="L153" s="58"/>
      <c r="M153" s="58"/>
      <c r="N153" s="58"/>
      <c r="O153" s="58"/>
      <c r="P153" s="58"/>
      <c r="Q153" s="3"/>
      <c r="R153" s="3"/>
      <c r="S153" s="3"/>
      <c r="T153" s="3"/>
      <c r="U153" s="3"/>
      <c r="V153" s="3"/>
    </row>
    <row r="154" ht="15.75" customHeight="1">
      <c r="A154" s="3"/>
      <c r="B154" s="3"/>
      <c r="C154" s="3"/>
      <c r="D154" s="108"/>
      <c r="E154" s="58"/>
      <c r="F154" s="58"/>
      <c r="G154" s="58"/>
      <c r="H154" s="58"/>
      <c r="I154" s="58"/>
      <c r="J154" s="58"/>
      <c r="K154" s="58"/>
      <c r="L154" s="58"/>
      <c r="M154" s="58"/>
      <c r="N154" s="58"/>
      <c r="O154" s="58"/>
      <c r="P154" s="58"/>
      <c r="Q154" s="3"/>
      <c r="R154" s="3"/>
      <c r="S154" s="3"/>
      <c r="T154" s="3"/>
      <c r="U154" s="3"/>
      <c r="V154" s="3"/>
    </row>
    <row r="155" ht="15.75" customHeight="1">
      <c r="A155" s="3"/>
      <c r="B155" s="3"/>
      <c r="C155" s="3"/>
      <c r="D155" s="108"/>
      <c r="E155" s="58"/>
      <c r="F155" s="58"/>
      <c r="G155" s="58"/>
      <c r="H155" s="58"/>
      <c r="I155" s="58"/>
      <c r="J155" s="58"/>
      <c r="K155" s="58"/>
      <c r="L155" s="58"/>
      <c r="M155" s="58"/>
      <c r="N155" s="58"/>
      <c r="O155" s="58"/>
      <c r="P155" s="58"/>
      <c r="Q155" s="3"/>
      <c r="R155" s="3"/>
      <c r="S155" s="3"/>
      <c r="T155" s="3"/>
      <c r="U155" s="3"/>
      <c r="V155" s="3"/>
    </row>
    <row r="156" ht="15.75" customHeight="1">
      <c r="A156" s="3"/>
      <c r="B156" s="3"/>
      <c r="C156" s="3"/>
      <c r="D156" s="108"/>
      <c r="E156" s="58"/>
      <c r="F156" s="58"/>
      <c r="G156" s="58"/>
      <c r="H156" s="58"/>
      <c r="I156" s="58"/>
      <c r="J156" s="58"/>
      <c r="K156" s="58"/>
      <c r="L156" s="58"/>
      <c r="M156" s="58"/>
      <c r="N156" s="58"/>
      <c r="O156" s="58"/>
      <c r="P156" s="58"/>
      <c r="Q156" s="3"/>
      <c r="R156" s="3"/>
      <c r="S156" s="3"/>
      <c r="T156" s="3"/>
      <c r="U156" s="3"/>
      <c r="V156" s="3"/>
    </row>
    <row r="157" ht="15.75" customHeight="1">
      <c r="A157" s="3"/>
      <c r="B157" s="3"/>
      <c r="C157" s="3"/>
      <c r="D157" s="108"/>
      <c r="E157" s="58"/>
      <c r="F157" s="58"/>
      <c r="G157" s="58"/>
      <c r="H157" s="58"/>
      <c r="I157" s="58"/>
      <c r="J157" s="58"/>
      <c r="K157" s="58"/>
      <c r="L157" s="58"/>
      <c r="M157" s="58"/>
      <c r="N157" s="58"/>
      <c r="O157" s="58"/>
      <c r="P157" s="58"/>
      <c r="Q157" s="3"/>
      <c r="R157" s="3"/>
      <c r="S157" s="3"/>
      <c r="T157" s="3"/>
      <c r="U157" s="3"/>
      <c r="V157" s="3"/>
    </row>
    <row r="158" ht="15.75" customHeight="1">
      <c r="A158" s="3"/>
      <c r="B158" s="3"/>
      <c r="C158" s="3"/>
      <c r="D158" s="108"/>
      <c r="E158" s="58"/>
      <c r="F158" s="58"/>
      <c r="G158" s="58"/>
      <c r="H158" s="58"/>
      <c r="I158" s="58"/>
      <c r="J158" s="58"/>
      <c r="K158" s="58"/>
      <c r="L158" s="58"/>
      <c r="M158" s="58"/>
      <c r="N158" s="58"/>
      <c r="O158" s="58"/>
      <c r="P158" s="58"/>
      <c r="Q158" s="3"/>
      <c r="R158" s="3"/>
      <c r="S158" s="3"/>
      <c r="T158" s="3"/>
      <c r="U158" s="3"/>
      <c r="V158" s="3"/>
    </row>
    <row r="159" ht="15.75" customHeight="1">
      <c r="A159" s="3"/>
      <c r="B159" s="3"/>
      <c r="C159" s="3"/>
      <c r="D159" s="108"/>
      <c r="E159" s="58"/>
      <c r="F159" s="58"/>
      <c r="G159" s="58"/>
      <c r="H159" s="58"/>
      <c r="I159" s="58"/>
      <c r="J159" s="58"/>
      <c r="K159" s="58"/>
      <c r="L159" s="58"/>
      <c r="M159" s="58"/>
      <c r="N159" s="58"/>
      <c r="O159" s="58"/>
      <c r="P159" s="58"/>
      <c r="Q159" s="3"/>
      <c r="R159" s="3"/>
      <c r="S159" s="3"/>
      <c r="T159" s="3"/>
      <c r="U159" s="3"/>
      <c r="V159" s="3"/>
    </row>
    <row r="160" ht="15.75" customHeight="1">
      <c r="A160" s="3"/>
      <c r="B160" s="3"/>
      <c r="C160" s="3"/>
      <c r="D160" s="108"/>
      <c r="E160" s="58"/>
      <c r="F160" s="58"/>
      <c r="G160" s="58"/>
      <c r="H160" s="58"/>
      <c r="I160" s="58"/>
      <c r="J160" s="58"/>
      <c r="K160" s="58"/>
      <c r="L160" s="58"/>
      <c r="M160" s="58"/>
      <c r="N160" s="58"/>
      <c r="O160" s="58"/>
      <c r="P160" s="58"/>
      <c r="Q160" s="3"/>
      <c r="R160" s="3"/>
      <c r="S160" s="3"/>
      <c r="T160" s="3"/>
      <c r="U160" s="3"/>
      <c r="V160" s="3"/>
    </row>
    <row r="161" ht="15.75" customHeight="1">
      <c r="A161" s="3"/>
      <c r="B161" s="3"/>
      <c r="C161" s="3"/>
      <c r="D161" s="108"/>
      <c r="E161" s="58"/>
      <c r="F161" s="58"/>
      <c r="G161" s="58"/>
      <c r="H161" s="58"/>
      <c r="I161" s="58"/>
      <c r="J161" s="58"/>
      <c r="K161" s="58"/>
      <c r="L161" s="58"/>
      <c r="M161" s="58"/>
      <c r="N161" s="58"/>
      <c r="O161" s="58"/>
      <c r="P161" s="58"/>
      <c r="Q161" s="3"/>
      <c r="R161" s="3"/>
      <c r="S161" s="3"/>
      <c r="T161" s="3"/>
      <c r="U161" s="3"/>
      <c r="V161" s="3"/>
    </row>
    <row r="162" ht="15.75" customHeight="1">
      <c r="A162" s="3"/>
      <c r="B162" s="3"/>
      <c r="C162" s="3"/>
      <c r="D162" s="108"/>
      <c r="E162" s="58"/>
      <c r="F162" s="58"/>
      <c r="G162" s="58"/>
      <c r="H162" s="58"/>
      <c r="I162" s="58"/>
      <c r="J162" s="58"/>
      <c r="K162" s="58"/>
      <c r="L162" s="58"/>
      <c r="M162" s="58"/>
      <c r="N162" s="58"/>
      <c r="O162" s="58"/>
      <c r="P162" s="58"/>
      <c r="Q162" s="3"/>
      <c r="R162" s="3"/>
      <c r="S162" s="3"/>
      <c r="T162" s="3"/>
      <c r="U162" s="3"/>
      <c r="V162" s="3"/>
    </row>
    <row r="163" ht="15.75" customHeight="1">
      <c r="A163" s="3"/>
      <c r="B163" s="3"/>
      <c r="C163" s="3"/>
      <c r="D163" s="108"/>
      <c r="E163" s="58"/>
      <c r="F163" s="58"/>
      <c r="G163" s="58"/>
      <c r="H163" s="58"/>
      <c r="I163" s="58"/>
      <c r="J163" s="58"/>
      <c r="K163" s="58"/>
      <c r="L163" s="58"/>
      <c r="M163" s="58"/>
      <c r="N163" s="58"/>
      <c r="O163" s="58"/>
      <c r="P163" s="58"/>
      <c r="Q163" s="3"/>
      <c r="R163" s="3"/>
      <c r="S163" s="3"/>
      <c r="T163" s="3"/>
      <c r="U163" s="3"/>
      <c r="V163" s="3"/>
    </row>
    <row r="164" ht="15.75" customHeight="1">
      <c r="A164" s="3"/>
      <c r="B164" s="3"/>
      <c r="C164" s="3"/>
      <c r="D164" s="108"/>
      <c r="E164" s="58"/>
      <c r="F164" s="58"/>
      <c r="G164" s="58"/>
      <c r="H164" s="58"/>
      <c r="I164" s="58"/>
      <c r="J164" s="58"/>
      <c r="K164" s="58"/>
      <c r="L164" s="58"/>
      <c r="M164" s="58"/>
      <c r="N164" s="58"/>
      <c r="O164" s="58"/>
      <c r="P164" s="58"/>
      <c r="Q164" s="3"/>
      <c r="R164" s="3"/>
      <c r="S164" s="3"/>
      <c r="T164" s="3"/>
      <c r="U164" s="3"/>
      <c r="V164" s="3"/>
    </row>
    <row r="165" ht="15.75" customHeight="1">
      <c r="A165" s="3"/>
      <c r="B165" s="3"/>
      <c r="C165" s="3"/>
      <c r="D165" s="108"/>
      <c r="E165" s="58"/>
      <c r="F165" s="58"/>
      <c r="G165" s="58"/>
      <c r="H165" s="58"/>
      <c r="I165" s="58"/>
      <c r="J165" s="58"/>
      <c r="K165" s="58"/>
      <c r="L165" s="58"/>
      <c r="M165" s="58"/>
      <c r="N165" s="58"/>
      <c r="O165" s="58"/>
      <c r="P165" s="58"/>
      <c r="Q165" s="3"/>
      <c r="R165" s="3"/>
      <c r="S165" s="3"/>
      <c r="T165" s="3"/>
      <c r="U165" s="3"/>
      <c r="V165" s="3"/>
    </row>
    <row r="166" ht="15.75" customHeight="1">
      <c r="A166" s="3"/>
      <c r="B166" s="3"/>
      <c r="C166" s="3"/>
      <c r="D166" s="108"/>
      <c r="E166" s="58"/>
      <c r="F166" s="58"/>
      <c r="G166" s="58"/>
      <c r="H166" s="58"/>
      <c r="I166" s="58"/>
      <c r="J166" s="58"/>
      <c r="K166" s="58"/>
      <c r="L166" s="58"/>
      <c r="M166" s="58"/>
      <c r="N166" s="58"/>
      <c r="O166" s="58"/>
      <c r="P166" s="58"/>
      <c r="Q166" s="3"/>
      <c r="R166" s="3"/>
      <c r="S166" s="3"/>
      <c r="T166" s="3"/>
      <c r="U166" s="3"/>
      <c r="V166" s="3"/>
    </row>
    <row r="167" ht="15.75" customHeight="1">
      <c r="A167" s="3"/>
      <c r="B167" s="3"/>
      <c r="C167" s="3"/>
      <c r="D167" s="108"/>
      <c r="E167" s="58"/>
      <c r="F167" s="58"/>
      <c r="G167" s="58"/>
      <c r="H167" s="58"/>
      <c r="I167" s="58"/>
      <c r="J167" s="58"/>
      <c r="K167" s="58"/>
      <c r="L167" s="58"/>
      <c r="M167" s="58"/>
      <c r="N167" s="58"/>
      <c r="O167" s="58"/>
      <c r="P167" s="58"/>
      <c r="Q167" s="3"/>
      <c r="R167" s="3"/>
      <c r="S167" s="3"/>
      <c r="T167" s="3"/>
      <c r="U167" s="3"/>
      <c r="V167" s="3"/>
    </row>
    <row r="168" ht="15.75" customHeight="1">
      <c r="A168" s="3"/>
      <c r="B168" s="3"/>
      <c r="C168" s="3"/>
      <c r="D168" s="108"/>
      <c r="E168" s="58"/>
      <c r="F168" s="58"/>
      <c r="G168" s="58"/>
      <c r="H168" s="58"/>
      <c r="I168" s="58"/>
      <c r="J168" s="58"/>
      <c r="K168" s="58"/>
      <c r="L168" s="58"/>
      <c r="M168" s="58"/>
      <c r="N168" s="58"/>
      <c r="O168" s="58"/>
      <c r="P168" s="58"/>
      <c r="Q168" s="3"/>
      <c r="R168" s="3"/>
      <c r="S168" s="3"/>
      <c r="T168" s="3"/>
      <c r="U168" s="3"/>
      <c r="V168" s="3"/>
    </row>
    <row r="169" ht="15.75" customHeight="1">
      <c r="A169" s="3"/>
      <c r="B169" s="3"/>
      <c r="C169" s="3"/>
      <c r="D169" s="108"/>
      <c r="E169" s="58"/>
      <c r="F169" s="58"/>
      <c r="G169" s="58"/>
      <c r="H169" s="58"/>
      <c r="I169" s="58"/>
      <c r="J169" s="58"/>
      <c r="K169" s="58"/>
      <c r="L169" s="58"/>
      <c r="M169" s="58"/>
      <c r="N169" s="58"/>
      <c r="O169" s="58"/>
      <c r="P169" s="58"/>
      <c r="Q169" s="3"/>
      <c r="R169" s="3"/>
      <c r="S169" s="3"/>
      <c r="T169" s="3"/>
      <c r="U169" s="3"/>
      <c r="V169" s="3"/>
    </row>
    <row r="170" ht="15.75" customHeight="1">
      <c r="A170" s="3"/>
      <c r="B170" s="3"/>
      <c r="C170" s="3"/>
      <c r="D170" s="108"/>
      <c r="E170" s="58"/>
      <c r="F170" s="58"/>
      <c r="G170" s="58"/>
      <c r="H170" s="58"/>
      <c r="I170" s="58"/>
      <c r="J170" s="58"/>
      <c r="K170" s="58"/>
      <c r="L170" s="58"/>
      <c r="M170" s="58"/>
      <c r="N170" s="58"/>
      <c r="O170" s="58"/>
      <c r="P170" s="58"/>
      <c r="Q170" s="3"/>
      <c r="R170" s="3"/>
      <c r="S170" s="3"/>
      <c r="T170" s="3"/>
      <c r="U170" s="3"/>
      <c r="V170" s="3"/>
    </row>
    <row r="171" ht="15.75" customHeight="1">
      <c r="A171" s="3"/>
      <c r="B171" s="3"/>
      <c r="C171" s="3"/>
      <c r="D171" s="108"/>
      <c r="E171" s="58"/>
      <c r="F171" s="58"/>
      <c r="G171" s="58"/>
      <c r="H171" s="58"/>
      <c r="I171" s="58"/>
      <c r="J171" s="58"/>
      <c r="K171" s="58"/>
      <c r="L171" s="58"/>
      <c r="M171" s="58"/>
      <c r="N171" s="58"/>
      <c r="O171" s="58"/>
      <c r="P171" s="58"/>
      <c r="Q171" s="3"/>
      <c r="R171" s="3"/>
      <c r="S171" s="3"/>
      <c r="T171" s="3"/>
      <c r="U171" s="3"/>
      <c r="V171" s="3"/>
    </row>
    <row r="172" ht="15.75" customHeight="1">
      <c r="A172" s="3"/>
      <c r="B172" s="3"/>
      <c r="C172" s="3"/>
      <c r="D172" s="108"/>
      <c r="E172" s="58"/>
      <c r="F172" s="58"/>
      <c r="G172" s="58"/>
      <c r="H172" s="58"/>
      <c r="I172" s="58"/>
      <c r="J172" s="58"/>
      <c r="K172" s="58"/>
      <c r="L172" s="58"/>
      <c r="M172" s="58"/>
      <c r="N172" s="58"/>
      <c r="O172" s="58"/>
      <c r="P172" s="58"/>
      <c r="Q172" s="3"/>
      <c r="R172" s="3"/>
      <c r="S172" s="3"/>
      <c r="T172" s="3"/>
      <c r="U172" s="3"/>
      <c r="V172" s="3"/>
    </row>
    <row r="173" ht="15.75" customHeight="1">
      <c r="A173" s="3"/>
      <c r="B173" s="3"/>
      <c r="C173" s="3"/>
      <c r="D173" s="108"/>
      <c r="E173" s="58"/>
      <c r="F173" s="58"/>
      <c r="G173" s="58"/>
      <c r="H173" s="58"/>
      <c r="I173" s="58"/>
      <c r="J173" s="58"/>
      <c r="K173" s="58"/>
      <c r="L173" s="58"/>
      <c r="M173" s="58"/>
      <c r="N173" s="58"/>
      <c r="O173" s="58"/>
      <c r="P173" s="58"/>
      <c r="Q173" s="3"/>
      <c r="R173" s="3"/>
      <c r="S173" s="3"/>
      <c r="T173" s="3"/>
      <c r="U173" s="3"/>
      <c r="V173" s="3"/>
    </row>
    <row r="174" ht="15.75" customHeight="1">
      <c r="A174" s="3"/>
      <c r="B174" s="3"/>
      <c r="C174" s="3"/>
      <c r="D174" s="108"/>
      <c r="E174" s="58"/>
      <c r="F174" s="58"/>
      <c r="G174" s="58"/>
      <c r="H174" s="58"/>
      <c r="I174" s="58"/>
      <c r="J174" s="58"/>
      <c r="K174" s="58"/>
      <c r="L174" s="58"/>
      <c r="M174" s="58"/>
      <c r="N174" s="58"/>
      <c r="O174" s="58"/>
      <c r="P174" s="58"/>
      <c r="Q174" s="3"/>
      <c r="R174" s="3"/>
      <c r="S174" s="3"/>
      <c r="T174" s="3"/>
      <c r="U174" s="3"/>
      <c r="V174" s="3"/>
    </row>
    <row r="175" ht="15.75" customHeight="1">
      <c r="A175" s="3"/>
      <c r="B175" s="3"/>
      <c r="C175" s="3"/>
      <c r="D175" s="108"/>
      <c r="E175" s="58"/>
      <c r="F175" s="58"/>
      <c r="G175" s="58"/>
      <c r="H175" s="58"/>
      <c r="I175" s="58"/>
      <c r="J175" s="58"/>
      <c r="K175" s="58"/>
      <c r="L175" s="58"/>
      <c r="M175" s="58"/>
      <c r="N175" s="58"/>
      <c r="O175" s="58"/>
      <c r="P175" s="58"/>
      <c r="Q175" s="3"/>
      <c r="R175" s="3"/>
      <c r="S175" s="3"/>
      <c r="T175" s="3"/>
      <c r="U175" s="3"/>
      <c r="V175" s="3"/>
    </row>
    <row r="176" ht="15.75" customHeight="1">
      <c r="A176" s="3"/>
      <c r="B176" s="3"/>
      <c r="C176" s="3"/>
      <c r="D176" s="108"/>
      <c r="E176" s="58"/>
      <c r="F176" s="58"/>
      <c r="G176" s="58"/>
      <c r="H176" s="58"/>
      <c r="I176" s="58"/>
      <c r="J176" s="58"/>
      <c r="K176" s="58"/>
      <c r="L176" s="58"/>
      <c r="M176" s="58"/>
      <c r="N176" s="58"/>
      <c r="O176" s="58"/>
      <c r="P176" s="58"/>
      <c r="Q176" s="3"/>
      <c r="R176" s="3"/>
      <c r="S176" s="3"/>
      <c r="T176" s="3"/>
      <c r="U176" s="3"/>
      <c r="V176" s="3"/>
    </row>
    <row r="177" ht="15.75" customHeight="1">
      <c r="A177" s="3"/>
      <c r="B177" s="3"/>
      <c r="C177" s="3"/>
      <c r="D177" s="108"/>
      <c r="E177" s="58"/>
      <c r="F177" s="58"/>
      <c r="G177" s="58"/>
      <c r="H177" s="58"/>
      <c r="I177" s="58"/>
      <c r="J177" s="58"/>
      <c r="K177" s="58"/>
      <c r="L177" s="58"/>
      <c r="M177" s="58"/>
      <c r="N177" s="58"/>
      <c r="O177" s="58"/>
      <c r="P177" s="58"/>
      <c r="Q177" s="3"/>
      <c r="R177" s="3"/>
      <c r="S177" s="3"/>
      <c r="T177" s="3"/>
      <c r="U177" s="3"/>
      <c r="V177" s="3"/>
    </row>
    <row r="178" ht="15.75" customHeight="1">
      <c r="A178" s="3"/>
      <c r="B178" s="3"/>
      <c r="C178" s="3"/>
      <c r="D178" s="108"/>
      <c r="E178" s="58"/>
      <c r="F178" s="58"/>
      <c r="G178" s="58"/>
      <c r="H178" s="58"/>
      <c r="I178" s="58"/>
      <c r="J178" s="58"/>
      <c r="K178" s="58"/>
      <c r="L178" s="58"/>
      <c r="M178" s="58"/>
      <c r="N178" s="58"/>
      <c r="O178" s="58"/>
      <c r="P178" s="58"/>
      <c r="Q178" s="3"/>
      <c r="R178" s="3"/>
      <c r="S178" s="3"/>
      <c r="T178" s="3"/>
      <c r="U178" s="3"/>
      <c r="V178" s="3"/>
    </row>
    <row r="179" ht="15.75" customHeight="1">
      <c r="A179" s="3"/>
      <c r="B179" s="3"/>
      <c r="C179" s="3"/>
      <c r="D179" s="108"/>
      <c r="E179" s="58"/>
      <c r="F179" s="58"/>
      <c r="G179" s="58"/>
      <c r="H179" s="58"/>
      <c r="I179" s="58"/>
      <c r="J179" s="58"/>
      <c r="K179" s="58"/>
      <c r="L179" s="58"/>
      <c r="M179" s="58"/>
      <c r="N179" s="58"/>
      <c r="O179" s="58"/>
      <c r="P179" s="58"/>
      <c r="Q179" s="3"/>
      <c r="R179" s="3"/>
      <c r="S179" s="3"/>
      <c r="T179" s="3"/>
      <c r="U179" s="3"/>
      <c r="V179" s="3"/>
    </row>
    <row r="180" ht="15.75" customHeight="1">
      <c r="A180" s="3"/>
      <c r="B180" s="3"/>
      <c r="C180" s="3"/>
      <c r="D180" s="108"/>
      <c r="E180" s="58"/>
      <c r="F180" s="58"/>
      <c r="G180" s="58"/>
      <c r="H180" s="58"/>
      <c r="I180" s="58"/>
      <c r="J180" s="58"/>
      <c r="K180" s="58"/>
      <c r="L180" s="58"/>
      <c r="M180" s="58"/>
      <c r="N180" s="58"/>
      <c r="O180" s="58"/>
      <c r="P180" s="58"/>
      <c r="Q180" s="3"/>
      <c r="R180" s="3"/>
      <c r="S180" s="3"/>
      <c r="T180" s="3"/>
      <c r="U180" s="3"/>
      <c r="V180" s="3"/>
    </row>
    <row r="181" ht="15.75" customHeight="1">
      <c r="A181" s="3"/>
      <c r="B181" s="3"/>
      <c r="C181" s="3"/>
      <c r="D181" s="108"/>
      <c r="E181" s="58"/>
      <c r="F181" s="58"/>
      <c r="G181" s="58"/>
      <c r="H181" s="58"/>
      <c r="I181" s="58"/>
      <c r="J181" s="58"/>
      <c r="K181" s="58"/>
      <c r="L181" s="58"/>
      <c r="M181" s="58"/>
      <c r="N181" s="58"/>
      <c r="O181" s="58"/>
      <c r="P181" s="58"/>
      <c r="Q181" s="3"/>
      <c r="R181" s="3"/>
      <c r="S181" s="3"/>
      <c r="T181" s="3"/>
      <c r="U181" s="3"/>
      <c r="V181" s="3"/>
    </row>
    <row r="182" ht="15.75" customHeight="1">
      <c r="A182" s="3"/>
      <c r="B182" s="3"/>
      <c r="C182" s="3"/>
      <c r="D182" s="108"/>
      <c r="E182" s="58"/>
      <c r="F182" s="58"/>
      <c r="G182" s="58"/>
      <c r="H182" s="58"/>
      <c r="I182" s="58"/>
      <c r="J182" s="58"/>
      <c r="K182" s="58"/>
      <c r="L182" s="58"/>
      <c r="M182" s="58"/>
      <c r="N182" s="58"/>
      <c r="O182" s="58"/>
      <c r="P182" s="58"/>
      <c r="Q182" s="3"/>
      <c r="R182" s="3"/>
      <c r="S182" s="3"/>
      <c r="T182" s="3"/>
      <c r="U182" s="3"/>
      <c r="V182" s="3"/>
    </row>
    <row r="183" ht="15.75" customHeight="1">
      <c r="A183" s="3"/>
      <c r="B183" s="3"/>
      <c r="C183" s="3"/>
      <c r="D183" s="108"/>
      <c r="E183" s="58"/>
      <c r="F183" s="58"/>
      <c r="G183" s="58"/>
      <c r="H183" s="58"/>
      <c r="I183" s="58"/>
      <c r="J183" s="58"/>
      <c r="K183" s="58"/>
      <c r="L183" s="58"/>
      <c r="M183" s="58"/>
      <c r="N183" s="58"/>
      <c r="O183" s="58"/>
      <c r="P183" s="58"/>
      <c r="Q183" s="3"/>
      <c r="R183" s="3"/>
      <c r="S183" s="3"/>
      <c r="T183" s="3"/>
      <c r="U183" s="3"/>
      <c r="V183" s="3"/>
    </row>
    <row r="184" ht="15.75" customHeight="1">
      <c r="A184" s="3"/>
      <c r="B184" s="3"/>
      <c r="C184" s="3"/>
      <c r="D184" s="108"/>
      <c r="E184" s="58"/>
      <c r="F184" s="58"/>
      <c r="G184" s="58"/>
      <c r="H184" s="58"/>
      <c r="I184" s="58"/>
      <c r="J184" s="58"/>
      <c r="K184" s="58"/>
      <c r="L184" s="58"/>
      <c r="M184" s="58"/>
      <c r="N184" s="58"/>
      <c r="O184" s="58"/>
      <c r="P184" s="58"/>
      <c r="Q184" s="3"/>
      <c r="R184" s="3"/>
      <c r="S184" s="3"/>
      <c r="T184" s="3"/>
      <c r="U184" s="3"/>
      <c r="V184" s="3"/>
    </row>
    <row r="185" ht="15.75" customHeight="1">
      <c r="A185" s="3"/>
      <c r="B185" s="3"/>
      <c r="C185" s="3"/>
      <c r="D185" s="108"/>
      <c r="E185" s="58"/>
      <c r="F185" s="58"/>
      <c r="G185" s="58"/>
      <c r="H185" s="58"/>
      <c r="I185" s="58"/>
      <c r="J185" s="58"/>
      <c r="K185" s="58"/>
      <c r="L185" s="58"/>
      <c r="M185" s="58"/>
      <c r="N185" s="58"/>
      <c r="O185" s="58"/>
      <c r="P185" s="58"/>
      <c r="Q185" s="3"/>
      <c r="R185" s="3"/>
      <c r="S185" s="3"/>
      <c r="T185" s="3"/>
      <c r="U185" s="3"/>
      <c r="V185" s="3"/>
    </row>
    <row r="186" ht="15.75" customHeight="1">
      <c r="A186" s="3"/>
      <c r="B186" s="3"/>
      <c r="C186" s="3"/>
      <c r="D186" s="108"/>
      <c r="E186" s="58"/>
      <c r="F186" s="58"/>
      <c r="G186" s="58"/>
      <c r="H186" s="58"/>
      <c r="I186" s="58"/>
      <c r="J186" s="58"/>
      <c r="K186" s="58"/>
      <c r="L186" s="58"/>
      <c r="M186" s="58"/>
      <c r="N186" s="58"/>
      <c r="O186" s="58"/>
      <c r="P186" s="58"/>
      <c r="Q186" s="3"/>
      <c r="R186" s="3"/>
      <c r="S186" s="3"/>
      <c r="T186" s="3"/>
      <c r="U186" s="3"/>
      <c r="V186" s="3"/>
    </row>
    <row r="187" ht="15.75" customHeight="1">
      <c r="A187" s="3"/>
      <c r="B187" s="3"/>
      <c r="C187" s="3"/>
      <c r="D187" s="108"/>
      <c r="E187" s="58"/>
      <c r="F187" s="58"/>
      <c r="G187" s="58"/>
      <c r="H187" s="58"/>
      <c r="I187" s="58"/>
      <c r="J187" s="58"/>
      <c r="K187" s="58"/>
      <c r="L187" s="58"/>
      <c r="M187" s="58"/>
      <c r="N187" s="58"/>
      <c r="O187" s="58"/>
      <c r="P187" s="58"/>
      <c r="Q187" s="3"/>
      <c r="R187" s="3"/>
      <c r="S187" s="3"/>
      <c r="T187" s="3"/>
      <c r="U187" s="3"/>
      <c r="V187" s="3"/>
    </row>
    <row r="188" ht="15.75" customHeight="1">
      <c r="A188" s="3"/>
      <c r="B188" s="3"/>
      <c r="C188" s="3"/>
      <c r="D188" s="108"/>
      <c r="E188" s="58"/>
      <c r="F188" s="58"/>
      <c r="G188" s="58"/>
      <c r="H188" s="58"/>
      <c r="I188" s="58"/>
      <c r="J188" s="58"/>
      <c r="K188" s="58"/>
      <c r="L188" s="58"/>
      <c r="M188" s="58"/>
      <c r="N188" s="58"/>
      <c r="O188" s="58"/>
      <c r="P188" s="58"/>
      <c r="Q188" s="3"/>
      <c r="R188" s="3"/>
      <c r="S188" s="3"/>
      <c r="T188" s="3"/>
      <c r="U188" s="3"/>
      <c r="V188" s="3"/>
    </row>
    <row r="189" ht="15.75" customHeight="1">
      <c r="A189" s="3"/>
      <c r="B189" s="3"/>
      <c r="C189" s="3"/>
      <c r="D189" s="108"/>
      <c r="E189" s="58"/>
      <c r="F189" s="58"/>
      <c r="G189" s="58"/>
      <c r="H189" s="58"/>
      <c r="I189" s="58"/>
      <c r="J189" s="58"/>
      <c r="K189" s="58"/>
      <c r="L189" s="58"/>
      <c r="M189" s="58"/>
      <c r="N189" s="58"/>
      <c r="O189" s="58"/>
      <c r="P189" s="58"/>
      <c r="Q189" s="3"/>
      <c r="R189" s="3"/>
      <c r="S189" s="3"/>
      <c r="T189" s="3"/>
      <c r="U189" s="3"/>
      <c r="V189" s="3"/>
    </row>
    <row r="190" ht="15.75" customHeight="1">
      <c r="A190" s="3"/>
      <c r="B190" s="3"/>
      <c r="C190" s="3"/>
      <c r="D190" s="108"/>
      <c r="E190" s="58"/>
      <c r="F190" s="58"/>
      <c r="G190" s="58"/>
      <c r="H190" s="58"/>
      <c r="I190" s="58"/>
      <c r="J190" s="58"/>
      <c r="K190" s="58"/>
      <c r="L190" s="58"/>
      <c r="M190" s="58"/>
      <c r="N190" s="58"/>
      <c r="O190" s="58"/>
      <c r="P190" s="58"/>
      <c r="Q190" s="3"/>
      <c r="R190" s="3"/>
      <c r="S190" s="3"/>
      <c r="T190" s="3"/>
      <c r="U190" s="3"/>
      <c r="V190" s="3"/>
    </row>
    <row r="191" ht="15.75" customHeight="1">
      <c r="A191" s="3"/>
      <c r="B191" s="3"/>
      <c r="C191" s="3"/>
      <c r="D191" s="108"/>
      <c r="E191" s="58"/>
      <c r="F191" s="58"/>
      <c r="G191" s="58"/>
      <c r="H191" s="58"/>
      <c r="I191" s="58"/>
      <c r="J191" s="58"/>
      <c r="K191" s="58"/>
      <c r="L191" s="58"/>
      <c r="M191" s="58"/>
      <c r="N191" s="58"/>
      <c r="O191" s="58"/>
      <c r="P191" s="58"/>
      <c r="Q191" s="3"/>
      <c r="R191" s="3"/>
      <c r="S191" s="3"/>
      <c r="T191" s="3"/>
      <c r="U191" s="3"/>
      <c r="V191" s="3"/>
    </row>
    <row r="192" ht="15.75" customHeight="1">
      <c r="A192" s="3"/>
      <c r="B192" s="3"/>
      <c r="C192" s="3"/>
      <c r="D192" s="108"/>
      <c r="E192" s="58"/>
      <c r="F192" s="58"/>
      <c r="G192" s="58"/>
      <c r="H192" s="58"/>
      <c r="I192" s="58"/>
      <c r="J192" s="58"/>
      <c r="K192" s="58"/>
      <c r="L192" s="58"/>
      <c r="M192" s="58"/>
      <c r="N192" s="58"/>
      <c r="O192" s="58"/>
      <c r="P192" s="58"/>
      <c r="Q192" s="3"/>
      <c r="R192" s="3"/>
      <c r="S192" s="3"/>
      <c r="T192" s="3"/>
      <c r="U192" s="3"/>
      <c r="V192" s="3"/>
    </row>
    <row r="193" ht="15.75" customHeight="1">
      <c r="A193" s="3"/>
      <c r="B193" s="3"/>
      <c r="C193" s="3"/>
      <c r="D193" s="108"/>
      <c r="E193" s="58"/>
      <c r="F193" s="58"/>
      <c r="G193" s="58"/>
      <c r="H193" s="58"/>
      <c r="I193" s="58"/>
      <c r="J193" s="58"/>
      <c r="K193" s="58"/>
      <c r="L193" s="58"/>
      <c r="M193" s="58"/>
      <c r="N193" s="58"/>
      <c r="O193" s="58"/>
      <c r="P193" s="58"/>
      <c r="Q193" s="3"/>
      <c r="R193" s="3"/>
      <c r="S193" s="3"/>
      <c r="T193" s="3"/>
      <c r="U193" s="3"/>
      <c r="V193" s="3"/>
    </row>
    <row r="194" ht="15.75" customHeight="1">
      <c r="A194" s="3"/>
      <c r="B194" s="3"/>
      <c r="C194" s="3"/>
      <c r="D194" s="108"/>
      <c r="E194" s="58"/>
      <c r="F194" s="58"/>
      <c r="G194" s="58"/>
      <c r="H194" s="58"/>
      <c r="I194" s="58"/>
      <c r="J194" s="58"/>
      <c r="K194" s="58"/>
      <c r="L194" s="58"/>
      <c r="M194" s="58"/>
      <c r="N194" s="58"/>
      <c r="O194" s="58"/>
      <c r="P194" s="58"/>
      <c r="Q194" s="3"/>
      <c r="R194" s="3"/>
      <c r="S194" s="3"/>
      <c r="T194" s="3"/>
      <c r="U194" s="3"/>
      <c r="V194" s="3"/>
    </row>
    <row r="195" ht="15.75" customHeight="1">
      <c r="A195" s="3"/>
      <c r="B195" s="3"/>
      <c r="C195" s="3"/>
      <c r="D195" s="108"/>
      <c r="E195" s="58"/>
      <c r="F195" s="58"/>
      <c r="G195" s="58"/>
      <c r="H195" s="58"/>
      <c r="I195" s="58"/>
      <c r="J195" s="58"/>
      <c r="K195" s="58"/>
      <c r="L195" s="58"/>
      <c r="M195" s="58"/>
      <c r="N195" s="58"/>
      <c r="O195" s="58"/>
      <c r="P195" s="58"/>
      <c r="Q195" s="3"/>
      <c r="R195" s="3"/>
      <c r="S195" s="3"/>
      <c r="T195" s="3"/>
      <c r="U195" s="3"/>
      <c r="V195" s="3"/>
    </row>
    <row r="196" ht="15.75" customHeight="1">
      <c r="A196" s="3"/>
      <c r="B196" s="3"/>
      <c r="C196" s="3"/>
      <c r="D196" s="108"/>
      <c r="E196" s="58"/>
      <c r="F196" s="58"/>
      <c r="G196" s="58"/>
      <c r="H196" s="58"/>
      <c r="I196" s="58"/>
      <c r="J196" s="58"/>
      <c r="K196" s="58"/>
      <c r="L196" s="58"/>
      <c r="M196" s="58"/>
      <c r="N196" s="58"/>
      <c r="O196" s="58"/>
      <c r="P196" s="58"/>
      <c r="Q196" s="3"/>
      <c r="R196" s="3"/>
      <c r="S196" s="3"/>
      <c r="T196" s="3"/>
      <c r="U196" s="3"/>
      <c r="V196" s="3"/>
    </row>
    <row r="197" ht="15.75" customHeight="1">
      <c r="A197" s="3"/>
      <c r="B197" s="3"/>
      <c r="C197" s="3"/>
      <c r="D197" s="108"/>
      <c r="E197" s="58"/>
      <c r="F197" s="58"/>
      <c r="G197" s="58"/>
      <c r="H197" s="58"/>
      <c r="I197" s="58"/>
      <c r="J197" s="58"/>
      <c r="K197" s="58"/>
      <c r="L197" s="58"/>
      <c r="M197" s="58"/>
      <c r="N197" s="58"/>
      <c r="O197" s="58"/>
      <c r="P197" s="58"/>
      <c r="Q197" s="3"/>
      <c r="R197" s="3"/>
      <c r="S197" s="3"/>
      <c r="T197" s="3"/>
      <c r="U197" s="3"/>
      <c r="V197" s="3"/>
    </row>
    <row r="198" ht="15.75" customHeight="1">
      <c r="A198" s="3"/>
      <c r="B198" s="3"/>
      <c r="C198" s="3"/>
      <c r="D198" s="108"/>
      <c r="E198" s="58"/>
      <c r="F198" s="58"/>
      <c r="G198" s="58"/>
      <c r="H198" s="58"/>
      <c r="I198" s="58"/>
      <c r="J198" s="58"/>
      <c r="K198" s="58"/>
      <c r="L198" s="58"/>
      <c r="M198" s="58"/>
      <c r="N198" s="58"/>
      <c r="O198" s="58"/>
      <c r="P198" s="58"/>
      <c r="Q198" s="3"/>
      <c r="R198" s="3"/>
      <c r="S198" s="3"/>
      <c r="T198" s="3"/>
      <c r="U198" s="3"/>
      <c r="V198" s="3"/>
    </row>
    <row r="199" ht="15.75" customHeight="1">
      <c r="A199" s="3"/>
      <c r="B199" s="3"/>
      <c r="C199" s="3"/>
      <c r="D199" s="108"/>
      <c r="E199" s="58"/>
      <c r="F199" s="58"/>
      <c r="G199" s="58"/>
      <c r="H199" s="58"/>
      <c r="I199" s="58"/>
      <c r="J199" s="58"/>
      <c r="K199" s="58"/>
      <c r="L199" s="58"/>
      <c r="M199" s="58"/>
      <c r="N199" s="58"/>
      <c r="O199" s="58"/>
      <c r="P199" s="58"/>
      <c r="Q199" s="3"/>
      <c r="R199" s="3"/>
      <c r="S199" s="3"/>
      <c r="T199" s="3"/>
      <c r="U199" s="3"/>
      <c r="V199" s="3"/>
    </row>
    <row r="200" ht="15.75" customHeight="1">
      <c r="A200" s="3"/>
      <c r="B200" s="3"/>
      <c r="C200" s="3"/>
      <c r="D200" s="108"/>
      <c r="E200" s="58"/>
      <c r="F200" s="58"/>
      <c r="G200" s="58"/>
      <c r="H200" s="58"/>
      <c r="I200" s="58"/>
      <c r="J200" s="58"/>
      <c r="K200" s="58"/>
      <c r="L200" s="58"/>
      <c r="M200" s="58"/>
      <c r="N200" s="58"/>
      <c r="O200" s="58"/>
      <c r="P200" s="58"/>
      <c r="Q200" s="3"/>
      <c r="R200" s="3"/>
      <c r="S200" s="3"/>
      <c r="T200" s="3"/>
      <c r="U200" s="3"/>
      <c r="V200" s="3"/>
    </row>
    <row r="201" ht="15.75" customHeight="1">
      <c r="A201" s="3"/>
      <c r="B201" s="3"/>
      <c r="C201" s="3"/>
      <c r="D201" s="108"/>
      <c r="E201" s="58"/>
      <c r="F201" s="58"/>
      <c r="G201" s="58"/>
      <c r="H201" s="58"/>
      <c r="I201" s="58"/>
      <c r="J201" s="58"/>
      <c r="K201" s="58"/>
      <c r="L201" s="58"/>
      <c r="M201" s="58"/>
      <c r="N201" s="58"/>
      <c r="O201" s="58"/>
      <c r="P201" s="58"/>
      <c r="Q201" s="3"/>
      <c r="R201" s="3"/>
      <c r="S201" s="3"/>
      <c r="T201" s="3"/>
      <c r="U201" s="3"/>
      <c r="V201" s="3"/>
    </row>
    <row r="202" ht="15.75" customHeight="1">
      <c r="A202" s="3"/>
      <c r="B202" s="3"/>
      <c r="C202" s="3"/>
      <c r="D202" s="108"/>
      <c r="E202" s="58"/>
      <c r="F202" s="58"/>
      <c r="G202" s="58"/>
      <c r="H202" s="58"/>
      <c r="I202" s="58"/>
      <c r="J202" s="58"/>
      <c r="K202" s="58"/>
      <c r="L202" s="58"/>
      <c r="M202" s="58"/>
      <c r="N202" s="58"/>
      <c r="O202" s="58"/>
      <c r="P202" s="58"/>
      <c r="Q202" s="3"/>
      <c r="R202" s="3"/>
      <c r="S202" s="3"/>
      <c r="T202" s="3"/>
      <c r="U202" s="3"/>
      <c r="V202" s="3"/>
    </row>
    <row r="203" ht="15.75" customHeight="1">
      <c r="A203" s="3"/>
      <c r="B203" s="3"/>
      <c r="C203" s="3"/>
      <c r="D203" s="108"/>
      <c r="E203" s="58"/>
      <c r="F203" s="58"/>
      <c r="G203" s="58"/>
      <c r="H203" s="58"/>
      <c r="I203" s="58"/>
      <c r="J203" s="58"/>
      <c r="K203" s="58"/>
      <c r="L203" s="58"/>
      <c r="M203" s="58"/>
      <c r="N203" s="58"/>
      <c r="O203" s="58"/>
      <c r="P203" s="58"/>
      <c r="Q203" s="3"/>
      <c r="R203" s="3"/>
      <c r="S203" s="3"/>
      <c r="T203" s="3"/>
      <c r="U203" s="3"/>
      <c r="V203" s="3"/>
    </row>
    <row r="204" ht="15.75" customHeight="1">
      <c r="A204" s="3"/>
      <c r="B204" s="3"/>
      <c r="C204" s="3"/>
      <c r="D204" s="108"/>
      <c r="E204" s="58"/>
      <c r="F204" s="58"/>
      <c r="G204" s="58"/>
      <c r="H204" s="58"/>
      <c r="I204" s="58"/>
      <c r="J204" s="58"/>
      <c r="K204" s="58"/>
      <c r="L204" s="58"/>
      <c r="M204" s="58"/>
      <c r="N204" s="58"/>
      <c r="O204" s="58"/>
      <c r="P204" s="58"/>
      <c r="Q204" s="3"/>
      <c r="R204" s="3"/>
      <c r="S204" s="3"/>
      <c r="T204" s="3"/>
      <c r="U204" s="3"/>
      <c r="V204" s="3"/>
    </row>
    <row r="205" ht="15.75" customHeight="1">
      <c r="A205" s="3"/>
      <c r="B205" s="3"/>
      <c r="C205" s="3"/>
      <c r="D205" s="108"/>
      <c r="E205" s="58"/>
      <c r="F205" s="58"/>
      <c r="G205" s="58"/>
      <c r="H205" s="58"/>
      <c r="I205" s="58"/>
      <c r="J205" s="58"/>
      <c r="K205" s="58"/>
      <c r="L205" s="58"/>
      <c r="M205" s="58"/>
      <c r="N205" s="58"/>
      <c r="O205" s="58"/>
      <c r="P205" s="58"/>
      <c r="Q205" s="3"/>
      <c r="R205" s="3"/>
      <c r="S205" s="3"/>
      <c r="T205" s="3"/>
      <c r="U205" s="3"/>
      <c r="V205" s="3"/>
    </row>
    <row r="206" ht="15.75" customHeight="1">
      <c r="A206" s="3"/>
      <c r="B206" s="3"/>
      <c r="C206" s="3"/>
      <c r="D206" s="108"/>
      <c r="E206" s="58"/>
      <c r="F206" s="58"/>
      <c r="G206" s="58"/>
      <c r="H206" s="58"/>
      <c r="I206" s="58"/>
      <c r="J206" s="58"/>
      <c r="K206" s="58"/>
      <c r="L206" s="58"/>
      <c r="M206" s="58"/>
      <c r="N206" s="58"/>
      <c r="O206" s="58"/>
      <c r="P206" s="58"/>
      <c r="Q206" s="3"/>
      <c r="R206" s="3"/>
      <c r="S206" s="3"/>
      <c r="T206" s="3"/>
      <c r="U206" s="3"/>
      <c r="V206" s="3"/>
    </row>
    <row r="207" ht="15.75" customHeight="1">
      <c r="A207" s="3"/>
      <c r="B207" s="3"/>
      <c r="C207" s="3"/>
      <c r="D207" s="108"/>
      <c r="E207" s="58"/>
      <c r="F207" s="58"/>
      <c r="G207" s="58"/>
      <c r="H207" s="58"/>
      <c r="I207" s="58"/>
      <c r="J207" s="58"/>
      <c r="K207" s="58"/>
      <c r="L207" s="58"/>
      <c r="M207" s="58"/>
      <c r="N207" s="58"/>
      <c r="O207" s="58"/>
      <c r="P207" s="58"/>
      <c r="Q207" s="3"/>
      <c r="R207" s="3"/>
      <c r="S207" s="3"/>
      <c r="T207" s="3"/>
      <c r="U207" s="3"/>
      <c r="V207" s="3"/>
    </row>
    <row r="208" ht="15.75" customHeight="1">
      <c r="A208" s="3"/>
      <c r="B208" s="3"/>
      <c r="C208" s="3"/>
      <c r="D208" s="108"/>
      <c r="E208" s="58"/>
      <c r="F208" s="58"/>
      <c r="G208" s="58"/>
      <c r="H208" s="58"/>
      <c r="I208" s="58"/>
      <c r="J208" s="58"/>
      <c r="K208" s="58"/>
      <c r="L208" s="58"/>
      <c r="M208" s="58"/>
      <c r="N208" s="58"/>
      <c r="O208" s="58"/>
      <c r="P208" s="58"/>
      <c r="Q208" s="3"/>
      <c r="R208" s="3"/>
      <c r="S208" s="3"/>
      <c r="T208" s="3"/>
      <c r="U208" s="3"/>
      <c r="V208" s="3"/>
    </row>
    <row r="209" ht="15.75" customHeight="1">
      <c r="A209" s="3"/>
      <c r="B209" s="3"/>
      <c r="C209" s="3"/>
      <c r="D209" s="108"/>
      <c r="E209" s="58"/>
      <c r="F209" s="58"/>
      <c r="G209" s="58"/>
      <c r="H209" s="58"/>
      <c r="I209" s="58"/>
      <c r="J209" s="58"/>
      <c r="K209" s="58"/>
      <c r="L209" s="58"/>
      <c r="M209" s="58"/>
      <c r="N209" s="58"/>
      <c r="O209" s="58"/>
      <c r="P209" s="58"/>
      <c r="Q209" s="3"/>
      <c r="R209" s="3"/>
      <c r="S209" s="3"/>
      <c r="T209" s="3"/>
      <c r="U209" s="3"/>
      <c r="V209" s="3"/>
    </row>
    <row r="210" ht="15.75" customHeight="1">
      <c r="A210" s="3"/>
      <c r="B210" s="3"/>
      <c r="C210" s="3"/>
      <c r="D210" s="108"/>
      <c r="E210" s="58"/>
      <c r="F210" s="58"/>
      <c r="G210" s="58"/>
      <c r="H210" s="58"/>
      <c r="I210" s="58"/>
      <c r="J210" s="58"/>
      <c r="K210" s="58"/>
      <c r="L210" s="58"/>
      <c r="M210" s="58"/>
      <c r="N210" s="58"/>
      <c r="O210" s="58"/>
      <c r="P210" s="58"/>
      <c r="Q210" s="3"/>
      <c r="R210" s="3"/>
      <c r="S210" s="3"/>
      <c r="T210" s="3"/>
      <c r="U210" s="3"/>
      <c r="V210" s="3"/>
    </row>
    <row r="211" ht="15.75" customHeight="1">
      <c r="A211" s="3"/>
      <c r="B211" s="3"/>
      <c r="C211" s="3"/>
      <c r="D211" s="108"/>
      <c r="E211" s="58"/>
      <c r="F211" s="58"/>
      <c r="G211" s="58"/>
      <c r="H211" s="58"/>
      <c r="I211" s="58"/>
      <c r="J211" s="58"/>
      <c r="K211" s="58"/>
      <c r="L211" s="58"/>
      <c r="M211" s="58"/>
      <c r="N211" s="58"/>
      <c r="O211" s="58"/>
      <c r="P211" s="58"/>
      <c r="Q211" s="3"/>
      <c r="R211" s="3"/>
      <c r="S211" s="3"/>
      <c r="T211" s="3"/>
      <c r="U211" s="3"/>
      <c r="V211" s="3"/>
    </row>
    <row r="212" ht="15.75" customHeight="1">
      <c r="A212" s="3"/>
      <c r="B212" s="3"/>
      <c r="C212" s="3"/>
      <c r="D212" s="108"/>
      <c r="E212" s="58"/>
      <c r="F212" s="58"/>
      <c r="G212" s="58"/>
      <c r="H212" s="58"/>
      <c r="I212" s="58"/>
      <c r="J212" s="58"/>
      <c r="K212" s="58"/>
      <c r="L212" s="58"/>
      <c r="M212" s="58"/>
      <c r="N212" s="58"/>
      <c r="O212" s="58"/>
      <c r="P212" s="58"/>
      <c r="Q212" s="3"/>
      <c r="R212" s="3"/>
      <c r="S212" s="3"/>
      <c r="T212" s="3"/>
      <c r="U212" s="3"/>
      <c r="V212" s="3"/>
    </row>
    <row r="213" ht="15.75" customHeight="1">
      <c r="A213" s="3"/>
      <c r="B213" s="3"/>
      <c r="C213" s="3"/>
      <c r="D213" s="108"/>
      <c r="E213" s="58"/>
      <c r="F213" s="58"/>
      <c r="G213" s="58"/>
      <c r="H213" s="58"/>
      <c r="I213" s="58"/>
      <c r="J213" s="58"/>
      <c r="K213" s="58"/>
      <c r="L213" s="58"/>
      <c r="M213" s="58"/>
      <c r="N213" s="58"/>
      <c r="O213" s="58"/>
      <c r="P213" s="58"/>
      <c r="Q213" s="3"/>
      <c r="R213" s="3"/>
      <c r="S213" s="3"/>
      <c r="T213" s="3"/>
      <c r="U213" s="3"/>
      <c r="V213" s="3"/>
    </row>
    <row r="214" ht="15.75" customHeight="1">
      <c r="A214" s="3"/>
      <c r="B214" s="3"/>
      <c r="C214" s="3"/>
      <c r="D214" s="108"/>
      <c r="E214" s="58"/>
      <c r="F214" s="58"/>
      <c r="G214" s="58"/>
      <c r="H214" s="58"/>
      <c r="I214" s="58"/>
      <c r="J214" s="58"/>
      <c r="K214" s="58"/>
      <c r="L214" s="58"/>
      <c r="M214" s="58"/>
      <c r="N214" s="58"/>
      <c r="O214" s="58"/>
      <c r="P214" s="58"/>
      <c r="Q214" s="3"/>
      <c r="R214" s="3"/>
      <c r="S214" s="3"/>
      <c r="T214" s="3"/>
      <c r="U214" s="3"/>
      <c r="V214" s="3"/>
    </row>
    <row r="215" ht="15.75" customHeight="1">
      <c r="A215" s="3"/>
      <c r="B215" s="3"/>
      <c r="C215" s="3"/>
      <c r="D215" s="108"/>
      <c r="E215" s="58"/>
      <c r="F215" s="58"/>
      <c r="G215" s="58"/>
      <c r="H215" s="58"/>
      <c r="I215" s="58"/>
      <c r="J215" s="58"/>
      <c r="K215" s="58"/>
      <c r="L215" s="58"/>
      <c r="M215" s="58"/>
      <c r="N215" s="58"/>
      <c r="O215" s="58"/>
      <c r="P215" s="58"/>
      <c r="Q215" s="3"/>
      <c r="R215" s="3"/>
      <c r="S215" s="3"/>
      <c r="T215" s="3"/>
      <c r="U215" s="3"/>
      <c r="V215" s="3"/>
    </row>
    <row r="216" ht="15.75" customHeight="1">
      <c r="A216" s="3"/>
      <c r="B216" s="3"/>
      <c r="C216" s="3"/>
      <c r="D216" s="108"/>
      <c r="E216" s="58"/>
      <c r="F216" s="58"/>
      <c r="G216" s="58"/>
      <c r="H216" s="58"/>
      <c r="I216" s="58"/>
      <c r="J216" s="58"/>
      <c r="K216" s="58"/>
      <c r="L216" s="58"/>
      <c r="M216" s="58"/>
      <c r="N216" s="58"/>
      <c r="O216" s="58"/>
      <c r="P216" s="58"/>
      <c r="Q216" s="3"/>
      <c r="R216" s="3"/>
      <c r="S216" s="3"/>
      <c r="T216" s="3"/>
      <c r="U216" s="3"/>
      <c r="V216" s="3"/>
    </row>
    <row r="217" ht="15.75" customHeight="1">
      <c r="A217" s="3"/>
      <c r="B217" s="3"/>
      <c r="C217" s="3"/>
      <c r="D217" s="108"/>
      <c r="E217" s="58"/>
      <c r="F217" s="58"/>
      <c r="G217" s="58"/>
      <c r="H217" s="58"/>
      <c r="I217" s="58"/>
      <c r="J217" s="58"/>
      <c r="K217" s="58"/>
      <c r="L217" s="58"/>
      <c r="M217" s="58"/>
      <c r="N217" s="58"/>
      <c r="O217" s="58"/>
      <c r="P217" s="58"/>
      <c r="Q217" s="3"/>
      <c r="R217" s="3"/>
      <c r="S217" s="3"/>
      <c r="T217" s="3"/>
      <c r="U217" s="3"/>
      <c r="V217" s="3"/>
    </row>
    <row r="218" ht="15.75" customHeight="1">
      <c r="A218" s="3"/>
      <c r="B218" s="3"/>
      <c r="C218" s="3"/>
      <c r="D218" s="108"/>
      <c r="E218" s="58"/>
      <c r="F218" s="58"/>
      <c r="G218" s="58"/>
      <c r="H218" s="58"/>
      <c r="I218" s="58"/>
      <c r="J218" s="58"/>
      <c r="K218" s="58"/>
      <c r="L218" s="58"/>
      <c r="M218" s="58"/>
      <c r="N218" s="58"/>
      <c r="O218" s="58"/>
      <c r="P218" s="58"/>
      <c r="Q218" s="3"/>
      <c r="R218" s="3"/>
      <c r="S218" s="3"/>
      <c r="T218" s="3"/>
      <c r="U218" s="3"/>
      <c r="V218" s="3"/>
    </row>
    <row r="219" ht="15.75" customHeight="1">
      <c r="A219" s="3"/>
      <c r="B219" s="3"/>
      <c r="C219" s="3"/>
      <c r="D219" s="108"/>
      <c r="E219" s="58"/>
      <c r="F219" s="58"/>
      <c r="G219" s="58"/>
      <c r="H219" s="58"/>
      <c r="I219" s="58"/>
      <c r="J219" s="58"/>
      <c r="K219" s="58"/>
      <c r="L219" s="58"/>
      <c r="M219" s="58"/>
      <c r="N219" s="58"/>
      <c r="O219" s="58"/>
      <c r="P219" s="58"/>
      <c r="Q219" s="3"/>
      <c r="R219" s="3"/>
      <c r="S219" s="3"/>
      <c r="T219" s="3"/>
      <c r="U219" s="3"/>
      <c r="V219" s="3"/>
    </row>
    <row r="220" ht="15.75" customHeight="1">
      <c r="A220" s="3"/>
      <c r="B220" s="3"/>
      <c r="C220" s="3"/>
      <c r="D220" s="108"/>
      <c r="E220" s="58"/>
      <c r="F220" s="58"/>
      <c r="G220" s="58"/>
      <c r="H220" s="58"/>
      <c r="I220" s="58"/>
      <c r="J220" s="58"/>
      <c r="K220" s="58"/>
      <c r="L220" s="58"/>
      <c r="M220" s="58"/>
      <c r="N220" s="58"/>
      <c r="O220" s="58"/>
      <c r="P220" s="58"/>
      <c r="Q220" s="3"/>
      <c r="R220" s="3"/>
      <c r="S220" s="3"/>
      <c r="T220" s="3"/>
      <c r="U220" s="3"/>
      <c r="V220" s="3"/>
    </row>
    <row r="221" ht="15.75" customHeight="1">
      <c r="A221" s="3"/>
      <c r="B221" s="3"/>
      <c r="C221" s="3"/>
      <c r="D221" s="108"/>
      <c r="E221" s="58"/>
      <c r="F221" s="58"/>
      <c r="G221" s="58"/>
      <c r="H221" s="58"/>
      <c r="I221" s="58"/>
      <c r="J221" s="58"/>
      <c r="K221" s="58"/>
      <c r="L221" s="58"/>
      <c r="M221" s="58"/>
      <c r="N221" s="58"/>
      <c r="O221" s="58"/>
      <c r="P221" s="58"/>
      <c r="Q221" s="3"/>
      <c r="R221" s="3"/>
      <c r="S221" s="3"/>
      <c r="T221" s="3"/>
      <c r="U221" s="3"/>
      <c r="V221" s="3"/>
    </row>
    <row r="222" ht="15.75" customHeight="1">
      <c r="A222" s="3"/>
      <c r="B222" s="3"/>
      <c r="C222" s="3"/>
      <c r="D222" s="108"/>
      <c r="E222" s="58"/>
      <c r="F222" s="58"/>
      <c r="G222" s="58"/>
      <c r="H222" s="58"/>
      <c r="I222" s="58"/>
      <c r="J222" s="58"/>
      <c r="K222" s="58"/>
      <c r="L222" s="58"/>
      <c r="M222" s="58"/>
      <c r="N222" s="58"/>
      <c r="O222" s="58"/>
      <c r="P222" s="58"/>
      <c r="Q222" s="3"/>
      <c r="R222" s="3"/>
      <c r="S222" s="3"/>
      <c r="T222" s="3"/>
      <c r="U222" s="3"/>
      <c r="V222" s="3"/>
    </row>
    <row r="223" ht="15.75" customHeight="1">
      <c r="A223" s="3"/>
      <c r="B223" s="3"/>
      <c r="C223" s="3"/>
      <c r="D223" s="108"/>
      <c r="E223" s="58"/>
      <c r="F223" s="58"/>
      <c r="G223" s="58"/>
      <c r="H223" s="58"/>
      <c r="I223" s="58"/>
      <c r="J223" s="58"/>
      <c r="K223" s="58"/>
      <c r="L223" s="58"/>
      <c r="M223" s="58"/>
      <c r="N223" s="58"/>
      <c r="O223" s="58"/>
      <c r="P223" s="58"/>
      <c r="Q223" s="3"/>
      <c r="R223" s="3"/>
      <c r="S223" s="3"/>
      <c r="T223" s="3"/>
      <c r="U223" s="3"/>
      <c r="V223" s="3"/>
    </row>
    <row r="224" ht="15.75" customHeight="1">
      <c r="A224" s="3"/>
      <c r="B224" s="3"/>
      <c r="C224" s="3"/>
      <c r="D224" s="108"/>
      <c r="E224" s="58"/>
      <c r="F224" s="58"/>
      <c r="G224" s="58"/>
      <c r="H224" s="58"/>
      <c r="I224" s="58"/>
      <c r="J224" s="58"/>
      <c r="K224" s="58"/>
      <c r="L224" s="58"/>
      <c r="M224" s="58"/>
      <c r="N224" s="58"/>
      <c r="O224" s="58"/>
      <c r="P224" s="58"/>
      <c r="Q224" s="3"/>
      <c r="R224" s="3"/>
      <c r="S224" s="3"/>
      <c r="T224" s="3"/>
      <c r="U224" s="3"/>
      <c r="V224" s="3"/>
    </row>
    <row r="225" ht="15.75" customHeight="1">
      <c r="A225" s="3"/>
      <c r="B225" s="3"/>
      <c r="C225" s="3"/>
      <c r="D225" s="108"/>
      <c r="E225" s="58"/>
      <c r="F225" s="58"/>
      <c r="G225" s="58"/>
      <c r="H225" s="58"/>
      <c r="I225" s="58"/>
      <c r="J225" s="58"/>
      <c r="K225" s="58"/>
      <c r="L225" s="58"/>
      <c r="M225" s="58"/>
      <c r="N225" s="58"/>
      <c r="O225" s="58"/>
      <c r="P225" s="58"/>
      <c r="Q225" s="3"/>
      <c r="R225" s="3"/>
      <c r="S225" s="3"/>
      <c r="T225" s="3"/>
      <c r="U225" s="3"/>
      <c r="V225" s="3"/>
    </row>
    <row r="226" ht="15.75" customHeight="1">
      <c r="A226" s="3"/>
      <c r="B226" s="3"/>
      <c r="C226" s="3"/>
      <c r="D226" s="108"/>
      <c r="E226" s="58"/>
      <c r="F226" s="58"/>
      <c r="G226" s="58"/>
      <c r="H226" s="58"/>
      <c r="I226" s="58"/>
      <c r="J226" s="58"/>
      <c r="K226" s="58"/>
      <c r="L226" s="58"/>
      <c r="M226" s="58"/>
      <c r="N226" s="58"/>
      <c r="O226" s="58"/>
      <c r="P226" s="58"/>
      <c r="Q226" s="3"/>
      <c r="R226" s="3"/>
      <c r="S226" s="3"/>
      <c r="T226" s="3"/>
      <c r="U226" s="3"/>
      <c r="V226" s="3"/>
    </row>
    <row r="227" ht="15.75" customHeight="1">
      <c r="A227" s="3"/>
      <c r="B227" s="3"/>
      <c r="C227" s="3"/>
      <c r="D227" s="108"/>
      <c r="E227" s="58"/>
      <c r="F227" s="58"/>
      <c r="G227" s="58"/>
      <c r="H227" s="58"/>
      <c r="I227" s="58"/>
      <c r="J227" s="58"/>
      <c r="K227" s="58"/>
      <c r="L227" s="58"/>
      <c r="M227" s="58"/>
      <c r="N227" s="58"/>
      <c r="O227" s="58"/>
      <c r="P227" s="58"/>
      <c r="Q227" s="3"/>
      <c r="R227" s="3"/>
      <c r="S227" s="3"/>
      <c r="T227" s="3"/>
      <c r="U227" s="3"/>
      <c r="V227" s="3"/>
    </row>
    <row r="228" ht="15.75" customHeight="1">
      <c r="A228" s="3"/>
      <c r="B228" s="3"/>
      <c r="C228" s="3"/>
      <c r="D228" s="108"/>
      <c r="E228" s="58"/>
      <c r="F228" s="58"/>
      <c r="G228" s="58"/>
      <c r="H228" s="58"/>
      <c r="I228" s="58"/>
      <c r="J228" s="58"/>
      <c r="K228" s="58"/>
      <c r="L228" s="58"/>
      <c r="M228" s="58"/>
      <c r="N228" s="58"/>
      <c r="O228" s="58"/>
      <c r="P228" s="58"/>
      <c r="Q228" s="3"/>
      <c r="R228" s="3"/>
      <c r="S228" s="3"/>
      <c r="T228" s="3"/>
      <c r="U228" s="3"/>
      <c r="V228" s="3"/>
    </row>
    <row r="229" ht="15.75" customHeight="1">
      <c r="A229" s="3"/>
      <c r="B229" s="3"/>
      <c r="C229" s="3"/>
      <c r="D229" s="108"/>
      <c r="E229" s="58"/>
      <c r="F229" s="58"/>
      <c r="G229" s="58"/>
      <c r="H229" s="58"/>
      <c r="I229" s="58"/>
      <c r="J229" s="58"/>
      <c r="K229" s="58"/>
      <c r="L229" s="58"/>
      <c r="M229" s="58"/>
      <c r="N229" s="58"/>
      <c r="O229" s="58"/>
      <c r="P229" s="58"/>
      <c r="Q229" s="3"/>
      <c r="R229" s="3"/>
      <c r="S229" s="3"/>
      <c r="T229" s="3"/>
      <c r="U229" s="3"/>
      <c r="V229" s="3"/>
    </row>
    <row r="230" ht="15.75" customHeight="1">
      <c r="A230" s="3"/>
      <c r="B230" s="3"/>
      <c r="C230" s="3"/>
      <c r="D230" s="108"/>
      <c r="E230" s="58"/>
      <c r="F230" s="58"/>
      <c r="G230" s="58"/>
      <c r="H230" s="58"/>
      <c r="I230" s="58"/>
      <c r="J230" s="58"/>
      <c r="K230" s="58"/>
      <c r="L230" s="58"/>
      <c r="M230" s="58"/>
      <c r="N230" s="58"/>
      <c r="O230" s="58"/>
      <c r="P230" s="58"/>
      <c r="Q230" s="3"/>
      <c r="R230" s="3"/>
      <c r="S230" s="3"/>
      <c r="T230" s="3"/>
      <c r="U230" s="3"/>
      <c r="V230" s="3"/>
    </row>
    <row r="231" ht="15.75" customHeight="1">
      <c r="A231" s="3"/>
      <c r="B231" s="3"/>
      <c r="C231" s="3"/>
      <c r="D231" s="108"/>
      <c r="E231" s="58"/>
      <c r="F231" s="58"/>
      <c r="G231" s="58"/>
      <c r="H231" s="58"/>
      <c r="I231" s="58"/>
      <c r="J231" s="58"/>
      <c r="K231" s="58"/>
      <c r="L231" s="58"/>
      <c r="M231" s="58"/>
      <c r="N231" s="58"/>
      <c r="O231" s="58"/>
      <c r="P231" s="58"/>
      <c r="Q231" s="3"/>
      <c r="R231" s="3"/>
      <c r="S231" s="3"/>
      <c r="T231" s="3"/>
      <c r="U231" s="3"/>
      <c r="V231" s="3"/>
    </row>
    <row r="232" ht="15.75" customHeight="1">
      <c r="A232" s="3"/>
      <c r="B232" s="3"/>
      <c r="C232" s="3"/>
      <c r="D232" s="108"/>
      <c r="E232" s="58"/>
      <c r="F232" s="58"/>
      <c r="G232" s="58"/>
      <c r="H232" s="58"/>
      <c r="I232" s="58"/>
      <c r="J232" s="58"/>
      <c r="K232" s="58"/>
      <c r="L232" s="58"/>
      <c r="M232" s="58"/>
      <c r="N232" s="58"/>
      <c r="O232" s="58"/>
      <c r="P232" s="58"/>
      <c r="Q232" s="3"/>
      <c r="R232" s="3"/>
      <c r="S232" s="3"/>
      <c r="T232" s="3"/>
      <c r="U232" s="3"/>
      <c r="V232" s="3"/>
    </row>
    <row r="233" ht="15.75" customHeight="1">
      <c r="A233" s="3"/>
      <c r="B233" s="3"/>
      <c r="C233" s="3"/>
      <c r="D233" s="108"/>
      <c r="E233" s="58"/>
      <c r="F233" s="58"/>
      <c r="G233" s="58"/>
      <c r="H233" s="58"/>
      <c r="I233" s="58"/>
      <c r="J233" s="58"/>
      <c r="K233" s="58"/>
      <c r="L233" s="58"/>
      <c r="M233" s="58"/>
      <c r="N233" s="58"/>
      <c r="O233" s="58"/>
      <c r="P233" s="58"/>
      <c r="Q233" s="3"/>
      <c r="R233" s="3"/>
      <c r="S233" s="3"/>
      <c r="T233" s="3"/>
      <c r="U233" s="3"/>
      <c r="V233" s="3"/>
    </row>
    <row r="234" ht="15.75" customHeight="1">
      <c r="A234" s="3"/>
      <c r="B234" s="3"/>
      <c r="C234" s="3"/>
      <c r="D234" s="108"/>
      <c r="E234" s="58"/>
      <c r="F234" s="58"/>
      <c r="G234" s="58"/>
      <c r="H234" s="58"/>
      <c r="I234" s="58"/>
      <c r="J234" s="58"/>
      <c r="K234" s="58"/>
      <c r="L234" s="58"/>
      <c r="M234" s="58"/>
      <c r="N234" s="58"/>
      <c r="O234" s="58"/>
      <c r="P234" s="58"/>
      <c r="Q234" s="3"/>
      <c r="R234" s="3"/>
      <c r="S234" s="3"/>
      <c r="T234" s="3"/>
      <c r="U234" s="3"/>
      <c r="V234" s="3"/>
    </row>
    <row r="235" ht="15.75" customHeight="1">
      <c r="A235" s="3"/>
      <c r="B235" s="3"/>
      <c r="C235" s="3"/>
      <c r="D235" s="108"/>
      <c r="E235" s="58"/>
      <c r="F235" s="58"/>
      <c r="G235" s="58"/>
      <c r="H235" s="58"/>
      <c r="I235" s="58"/>
      <c r="J235" s="58"/>
      <c r="K235" s="58"/>
      <c r="L235" s="58"/>
      <c r="M235" s="58"/>
      <c r="N235" s="58"/>
      <c r="O235" s="58"/>
      <c r="P235" s="58"/>
      <c r="Q235" s="3"/>
      <c r="R235" s="3"/>
      <c r="S235" s="3"/>
      <c r="T235" s="3"/>
      <c r="U235" s="3"/>
      <c r="V235" s="3"/>
    </row>
    <row r="236" ht="15.75" customHeight="1">
      <c r="A236" s="3"/>
      <c r="B236" s="3"/>
      <c r="C236" s="3"/>
      <c r="D236" s="108"/>
      <c r="E236" s="58"/>
      <c r="F236" s="58"/>
      <c r="G236" s="58"/>
      <c r="H236" s="58"/>
      <c r="I236" s="58"/>
      <c r="J236" s="58"/>
      <c r="K236" s="58"/>
      <c r="L236" s="58"/>
      <c r="M236" s="58"/>
      <c r="N236" s="58"/>
      <c r="O236" s="58"/>
      <c r="P236" s="58"/>
      <c r="Q236" s="3"/>
      <c r="R236" s="3"/>
      <c r="S236" s="3"/>
      <c r="T236" s="3"/>
      <c r="U236" s="3"/>
      <c r="V236" s="3"/>
    </row>
    <row r="237" ht="15.75" customHeight="1">
      <c r="A237" s="3"/>
      <c r="B237" s="3"/>
      <c r="C237" s="3"/>
      <c r="D237" s="108"/>
      <c r="E237" s="58"/>
      <c r="F237" s="58"/>
      <c r="G237" s="58"/>
      <c r="H237" s="58"/>
      <c r="I237" s="58"/>
      <c r="J237" s="58"/>
      <c r="K237" s="58"/>
      <c r="L237" s="58"/>
      <c r="M237" s="58"/>
      <c r="N237" s="58"/>
      <c r="O237" s="58"/>
      <c r="P237" s="58"/>
      <c r="Q237" s="3"/>
      <c r="R237" s="3"/>
      <c r="S237" s="3"/>
      <c r="T237" s="3"/>
      <c r="U237" s="3"/>
      <c r="V237" s="3"/>
    </row>
    <row r="238" ht="15.75" customHeight="1">
      <c r="A238" s="3"/>
      <c r="B238" s="3"/>
      <c r="C238" s="3"/>
      <c r="D238" s="108"/>
      <c r="E238" s="58"/>
      <c r="F238" s="58"/>
      <c r="G238" s="58"/>
      <c r="H238" s="58"/>
      <c r="I238" s="58"/>
      <c r="J238" s="58"/>
      <c r="K238" s="58"/>
      <c r="L238" s="58"/>
      <c r="M238" s="58"/>
      <c r="N238" s="58"/>
      <c r="O238" s="58"/>
      <c r="P238" s="58"/>
      <c r="Q238" s="3"/>
      <c r="R238" s="3"/>
      <c r="S238" s="3"/>
      <c r="T238" s="3"/>
      <c r="U238" s="3"/>
      <c r="V238" s="3"/>
    </row>
    <row r="239" ht="15.75" customHeight="1">
      <c r="A239" s="3"/>
      <c r="B239" s="3"/>
      <c r="C239" s="3"/>
      <c r="D239" s="108"/>
      <c r="E239" s="58"/>
      <c r="F239" s="58"/>
      <c r="G239" s="58"/>
      <c r="H239" s="58"/>
      <c r="I239" s="58"/>
      <c r="J239" s="58"/>
      <c r="K239" s="58"/>
      <c r="L239" s="58"/>
      <c r="M239" s="58"/>
      <c r="N239" s="58"/>
      <c r="O239" s="58"/>
      <c r="P239" s="58"/>
      <c r="Q239" s="3"/>
      <c r="R239" s="3"/>
      <c r="S239" s="3"/>
      <c r="T239" s="3"/>
      <c r="U239" s="3"/>
      <c r="V239" s="3"/>
    </row>
    <row r="240" ht="15.75" customHeight="1">
      <c r="A240" s="3"/>
      <c r="B240" s="3"/>
      <c r="C240" s="3"/>
      <c r="D240" s="108"/>
      <c r="E240" s="58"/>
      <c r="F240" s="58"/>
      <c r="G240" s="58"/>
      <c r="H240" s="58"/>
      <c r="I240" s="58"/>
      <c r="J240" s="58"/>
      <c r="K240" s="58"/>
      <c r="L240" s="58"/>
      <c r="M240" s="58"/>
      <c r="N240" s="58"/>
      <c r="O240" s="58"/>
      <c r="P240" s="58"/>
      <c r="Q240" s="3"/>
      <c r="R240" s="3"/>
      <c r="S240" s="3"/>
      <c r="T240" s="3"/>
      <c r="U240" s="3"/>
      <c r="V240" s="3"/>
    </row>
    <row r="241" ht="15.75" customHeight="1">
      <c r="A241" s="3"/>
      <c r="B241" s="3"/>
      <c r="C241" s="3"/>
      <c r="D241" s="108"/>
      <c r="E241" s="58"/>
      <c r="F241" s="58"/>
      <c r="G241" s="58"/>
      <c r="H241" s="58"/>
      <c r="I241" s="58"/>
      <c r="J241" s="58"/>
      <c r="K241" s="58"/>
      <c r="L241" s="58"/>
      <c r="M241" s="58"/>
      <c r="N241" s="58"/>
      <c r="O241" s="58"/>
      <c r="P241" s="58"/>
      <c r="Q241" s="3"/>
      <c r="R241" s="3"/>
      <c r="S241" s="3"/>
      <c r="T241" s="3"/>
      <c r="U241" s="3"/>
      <c r="V241" s="3"/>
    </row>
    <row r="242" ht="15.75" customHeight="1">
      <c r="A242" s="3"/>
      <c r="B242" s="3"/>
      <c r="C242" s="3"/>
      <c r="D242" s="108"/>
      <c r="E242" s="58"/>
      <c r="F242" s="58"/>
      <c r="G242" s="58"/>
      <c r="H242" s="58"/>
      <c r="I242" s="58"/>
      <c r="J242" s="58"/>
      <c r="K242" s="58"/>
      <c r="L242" s="58"/>
      <c r="M242" s="58"/>
      <c r="N242" s="58"/>
      <c r="O242" s="58"/>
      <c r="P242" s="58"/>
      <c r="Q242" s="3"/>
      <c r="R242" s="3"/>
      <c r="S242" s="3"/>
      <c r="T242" s="3"/>
      <c r="U242" s="3"/>
      <c r="V242" s="3"/>
    </row>
    <row r="243" ht="15.75" customHeight="1">
      <c r="A243" s="3"/>
      <c r="B243" s="3"/>
      <c r="C243" s="3"/>
      <c r="D243" s="108"/>
      <c r="E243" s="58"/>
      <c r="F243" s="58"/>
      <c r="G243" s="58"/>
      <c r="H243" s="58"/>
      <c r="I243" s="58"/>
      <c r="J243" s="58"/>
      <c r="K243" s="58"/>
      <c r="L243" s="58"/>
      <c r="M243" s="58"/>
      <c r="N243" s="58"/>
      <c r="O243" s="58"/>
      <c r="P243" s="58"/>
      <c r="Q243" s="3"/>
      <c r="R243" s="3"/>
      <c r="S243" s="3"/>
      <c r="T243" s="3"/>
      <c r="U243" s="3"/>
      <c r="V243" s="3"/>
    </row>
    <row r="244" ht="15.75" customHeight="1">
      <c r="A244" s="3"/>
      <c r="B244" s="3"/>
      <c r="C244" s="3"/>
      <c r="D244" s="108"/>
      <c r="E244" s="58"/>
      <c r="F244" s="58"/>
      <c r="G244" s="58"/>
      <c r="H244" s="58"/>
      <c r="I244" s="58"/>
      <c r="J244" s="58"/>
      <c r="K244" s="58"/>
      <c r="L244" s="58"/>
      <c r="M244" s="58"/>
      <c r="N244" s="58"/>
      <c r="O244" s="58"/>
      <c r="P244" s="58"/>
      <c r="Q244" s="3"/>
      <c r="R244" s="3"/>
      <c r="S244" s="3"/>
      <c r="T244" s="3"/>
      <c r="U244" s="3"/>
      <c r="V244" s="3"/>
    </row>
    <row r="245" ht="15.75" customHeight="1">
      <c r="A245" s="3"/>
      <c r="B245" s="3"/>
      <c r="C245" s="3"/>
      <c r="D245" s="108"/>
      <c r="E245" s="58"/>
      <c r="F245" s="58"/>
      <c r="G245" s="58"/>
      <c r="H245" s="58"/>
      <c r="I245" s="58"/>
      <c r="J245" s="58"/>
      <c r="K245" s="58"/>
      <c r="L245" s="58"/>
      <c r="M245" s="58"/>
      <c r="N245" s="58"/>
      <c r="O245" s="58"/>
      <c r="P245" s="58"/>
      <c r="Q245" s="3"/>
      <c r="R245" s="3"/>
      <c r="S245" s="3"/>
      <c r="T245" s="3"/>
      <c r="U245" s="3"/>
      <c r="V245" s="3"/>
    </row>
    <row r="246" ht="15.75" customHeight="1">
      <c r="A246" s="3"/>
      <c r="B246" s="3"/>
      <c r="C246" s="3"/>
      <c r="D246" s="108"/>
      <c r="E246" s="58"/>
      <c r="F246" s="58"/>
      <c r="G246" s="58"/>
      <c r="H246" s="58"/>
      <c r="I246" s="58"/>
      <c r="J246" s="58"/>
      <c r="K246" s="58"/>
      <c r="L246" s="58"/>
      <c r="M246" s="58"/>
      <c r="N246" s="58"/>
      <c r="O246" s="58"/>
      <c r="P246" s="58"/>
      <c r="Q246" s="3"/>
      <c r="R246" s="3"/>
      <c r="S246" s="3"/>
      <c r="T246" s="3"/>
      <c r="U246" s="3"/>
      <c r="V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</row>
  </sheetData>
  <mergeCells count="9">
    <mergeCell ref="A25:P25"/>
    <mergeCell ref="A35:P35"/>
    <mergeCell ref="A1:P1"/>
    <mergeCell ref="A2:D2"/>
    <mergeCell ref="E2:H2"/>
    <mergeCell ref="I2:L2"/>
    <mergeCell ref="M2:P2"/>
    <mergeCell ref="A4:P4"/>
    <mergeCell ref="A14:P14"/>
  </mergeCells>
  <hyperlinks>
    <hyperlink r:id="rId1" ref="M5"/>
    <hyperlink r:id="rId2" ref="M6"/>
    <hyperlink r:id="rId3" ref="E7"/>
    <hyperlink r:id="rId4" ref="M7"/>
    <hyperlink r:id="rId5" ref="M8"/>
    <hyperlink r:id="rId6" ref="M9"/>
    <hyperlink r:id="rId7" ref="M10"/>
    <hyperlink r:id="rId8" ref="M11"/>
    <hyperlink r:id="rId9" ref="M12"/>
    <hyperlink r:id="rId10" ref="M13"/>
    <hyperlink r:id="rId11" ref="M15"/>
    <hyperlink r:id="rId12" ref="M16"/>
    <hyperlink r:id="rId13" ref="M17"/>
    <hyperlink r:id="rId14" ref="E18"/>
    <hyperlink r:id="rId15" ref="M18"/>
    <hyperlink r:id="rId16" ref="M19"/>
    <hyperlink r:id="rId17" ref="M20"/>
    <hyperlink r:id="rId18" ref="M21"/>
    <hyperlink r:id="rId19" ref="E23"/>
    <hyperlink r:id="rId20" ref="M23"/>
    <hyperlink r:id="rId21" ref="M24"/>
    <hyperlink r:id="rId22" ref="M26"/>
    <hyperlink r:id="rId23" ref="M27"/>
    <hyperlink r:id="rId24" ref="M28"/>
    <hyperlink r:id="rId25" ref="M29"/>
    <hyperlink r:id="rId26" ref="M30"/>
    <hyperlink r:id="rId27" ref="M31"/>
    <hyperlink r:id="rId28" ref="E32"/>
    <hyperlink r:id="rId29" ref="M32"/>
    <hyperlink r:id="rId30" ref="M33"/>
    <hyperlink r:id="rId31" ref="M34"/>
  </hyperlinks>
  <printOptions/>
  <pageMargins bottom="1.0" footer="0.0" header="0.0" left="0.75" right="0.75" top="1.0"/>
  <pageSetup orientation="landscape"/>
  <drawing r:id="rId3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1.0"/>
    <col customWidth="1" min="2" max="2" width="22.0"/>
    <col customWidth="1" min="3" max="4" width="20.0"/>
    <col customWidth="1" min="5" max="5" width="18.0"/>
    <col customWidth="1" min="6" max="7" width="30.0"/>
  </cols>
  <sheetData>
    <row r="1" ht="15.75" customHeight="1">
      <c r="A1" s="7" t="s">
        <v>2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23.25" customHeight="1">
      <c r="A3" s="16" t="s">
        <v>17</v>
      </c>
      <c r="B3" s="16" t="s">
        <v>23</v>
      </c>
      <c r="C3" s="16" t="s">
        <v>26</v>
      </c>
      <c r="D3" s="16" t="s">
        <v>29</v>
      </c>
      <c r="E3" s="16" t="s">
        <v>32</v>
      </c>
      <c r="F3" s="16" t="s">
        <v>35</v>
      </c>
      <c r="G3" s="16" t="s">
        <v>37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57.75" customHeight="1">
      <c r="A4" s="23" t="s">
        <v>50</v>
      </c>
      <c r="B4" s="25" t="s">
        <v>52</v>
      </c>
      <c r="C4" s="26" t="s">
        <v>56</v>
      </c>
      <c r="D4" s="28" t="s">
        <v>60</v>
      </c>
      <c r="E4" s="28" t="s">
        <v>60</v>
      </c>
      <c r="F4" s="31" t="s">
        <v>66</v>
      </c>
      <c r="G4" s="31" t="s">
        <v>68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57.75" customHeight="1">
      <c r="A5" s="23" t="s">
        <v>77</v>
      </c>
      <c r="B5" s="25" t="s">
        <v>78</v>
      </c>
      <c r="C5" s="26" t="s">
        <v>80</v>
      </c>
      <c r="D5" s="28" t="s">
        <v>81</v>
      </c>
      <c r="E5" s="28" t="s">
        <v>81</v>
      </c>
      <c r="F5" s="31" t="s">
        <v>83</v>
      </c>
      <c r="G5" s="38" t="s">
        <v>85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57.75" customHeight="1">
      <c r="A6" s="23" t="s">
        <v>90</v>
      </c>
      <c r="B6" s="25" t="s">
        <v>92</v>
      </c>
      <c r="C6" s="38" t="s">
        <v>95</v>
      </c>
      <c r="D6" s="28" t="s">
        <v>81</v>
      </c>
      <c r="E6" s="28" t="s">
        <v>81</v>
      </c>
      <c r="F6" s="31" t="s">
        <v>100</v>
      </c>
      <c r="G6" s="31" t="s">
        <v>103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57.75" customHeight="1">
      <c r="A7" s="23" t="s">
        <v>108</v>
      </c>
      <c r="B7" s="25" t="s">
        <v>111</v>
      </c>
      <c r="C7" s="26" t="s">
        <v>80</v>
      </c>
      <c r="D7" s="38" t="s">
        <v>114</v>
      </c>
      <c r="E7" s="28" t="s">
        <v>81</v>
      </c>
      <c r="F7" s="31" t="s">
        <v>115</v>
      </c>
      <c r="G7" s="31" t="s">
        <v>116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57.75" customHeight="1">
      <c r="A8" s="23" t="s">
        <v>123</v>
      </c>
      <c r="B8" s="25" t="s">
        <v>124</v>
      </c>
      <c r="C8" s="38" t="s">
        <v>125</v>
      </c>
      <c r="D8" s="28" t="s">
        <v>81</v>
      </c>
      <c r="E8" s="28" t="s">
        <v>81</v>
      </c>
      <c r="F8" s="31" t="s">
        <v>130</v>
      </c>
      <c r="G8" s="31" t="s">
        <v>132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57.75" customHeight="1">
      <c r="A9" s="23" t="s">
        <v>139</v>
      </c>
      <c r="B9" s="25" t="s">
        <v>141</v>
      </c>
      <c r="C9" s="26" t="s">
        <v>80</v>
      </c>
      <c r="D9" s="28" t="s">
        <v>81</v>
      </c>
      <c r="E9" s="28" t="s">
        <v>81</v>
      </c>
      <c r="F9" s="31" t="s">
        <v>149</v>
      </c>
      <c r="G9" s="31" t="s">
        <v>150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57.75" customHeight="1">
      <c r="A10" s="23" t="s">
        <v>157</v>
      </c>
      <c r="B10" s="25" t="s">
        <v>160</v>
      </c>
      <c r="C10" s="26" t="s">
        <v>80</v>
      </c>
      <c r="D10" s="28" t="s">
        <v>81</v>
      </c>
      <c r="E10" s="28" t="s">
        <v>81</v>
      </c>
      <c r="F10" s="31" t="s">
        <v>164</v>
      </c>
      <c r="G10" s="31" t="s">
        <v>166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57.75" customHeight="1">
      <c r="A11" s="23" t="s">
        <v>168</v>
      </c>
      <c r="B11" s="25" t="s">
        <v>169</v>
      </c>
      <c r="C11" s="26" t="s">
        <v>80</v>
      </c>
      <c r="D11" s="28" t="s">
        <v>81</v>
      </c>
      <c r="E11" s="28" t="s">
        <v>81</v>
      </c>
      <c r="F11" s="31" t="s">
        <v>172</v>
      </c>
      <c r="G11" s="31" t="s">
        <v>174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57.75" customHeight="1">
      <c r="A12" s="23" t="s">
        <v>180</v>
      </c>
      <c r="B12" s="25" t="s">
        <v>181</v>
      </c>
      <c r="C12" s="26" t="s">
        <v>80</v>
      </c>
      <c r="D12" s="28" t="s">
        <v>81</v>
      </c>
      <c r="E12" s="28" t="s">
        <v>81</v>
      </c>
      <c r="F12" s="31" t="s">
        <v>185</v>
      </c>
      <c r="G12" s="31" t="s">
        <v>187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57.75" customHeight="1">
      <c r="A13" s="23" t="s">
        <v>195</v>
      </c>
      <c r="B13" s="25" t="s">
        <v>197</v>
      </c>
      <c r="C13" s="26" t="s">
        <v>80</v>
      </c>
      <c r="D13" s="28" t="s">
        <v>81</v>
      </c>
      <c r="E13" s="28" t="s">
        <v>81</v>
      </c>
      <c r="F13" s="31" t="s">
        <v>203</v>
      </c>
      <c r="G13" s="31" t="s">
        <v>205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57.75" customHeight="1">
      <c r="A14" s="23" t="s">
        <v>212</v>
      </c>
      <c r="B14" s="25" t="s">
        <v>213</v>
      </c>
      <c r="C14" s="26" t="s">
        <v>80</v>
      </c>
      <c r="D14" s="28" t="s">
        <v>214</v>
      </c>
      <c r="E14" s="28" t="s">
        <v>81</v>
      </c>
      <c r="F14" s="31" t="s">
        <v>217</v>
      </c>
      <c r="G14" s="38" t="s">
        <v>219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57.75" customHeight="1">
      <c r="A15" s="23" t="s">
        <v>225</v>
      </c>
      <c r="B15" s="25" t="s">
        <v>226</v>
      </c>
      <c r="C15" s="26" t="s">
        <v>80</v>
      </c>
      <c r="D15" s="28" t="s">
        <v>81</v>
      </c>
      <c r="E15" s="28" t="s">
        <v>228</v>
      </c>
      <c r="F15" s="31" t="s">
        <v>230</v>
      </c>
      <c r="G15" s="31" t="s">
        <v>232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57.75" customHeight="1">
      <c r="A16" s="23" t="s">
        <v>240</v>
      </c>
      <c r="B16" s="25" t="s">
        <v>241</v>
      </c>
      <c r="C16" s="26" t="s">
        <v>80</v>
      </c>
      <c r="D16" s="28" t="s">
        <v>81</v>
      </c>
      <c r="E16" s="28" t="s">
        <v>81</v>
      </c>
      <c r="F16" s="31" t="s">
        <v>244</v>
      </c>
      <c r="G16" s="31" t="s">
        <v>246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57.75" customHeight="1">
      <c r="A17" s="23" t="s">
        <v>250</v>
      </c>
      <c r="B17" s="25" t="s">
        <v>251</v>
      </c>
      <c r="C17" s="38" t="s">
        <v>253</v>
      </c>
      <c r="D17" s="38" t="s">
        <v>253</v>
      </c>
      <c r="E17" s="38" t="s">
        <v>255</v>
      </c>
      <c r="F17" s="38" t="s">
        <v>255</v>
      </c>
      <c r="G17" s="38" t="s">
        <v>255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57.75" customHeight="1">
      <c r="A18" s="23" t="s">
        <v>262</v>
      </c>
      <c r="B18" s="25" t="s">
        <v>264</v>
      </c>
      <c r="C18" s="38" t="s">
        <v>80</v>
      </c>
      <c r="D18" s="28" t="s">
        <v>81</v>
      </c>
      <c r="E18" s="28" t="s">
        <v>81</v>
      </c>
      <c r="F18" s="31" t="s">
        <v>268</v>
      </c>
      <c r="G18" s="31" t="s">
        <v>270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57.75" customHeight="1">
      <c r="A19" s="23" t="s">
        <v>274</v>
      </c>
      <c r="B19" s="25" t="s">
        <v>276</v>
      </c>
      <c r="C19" s="26" t="s">
        <v>80</v>
      </c>
      <c r="D19" s="28" t="s">
        <v>81</v>
      </c>
      <c r="E19" s="28" t="s">
        <v>81</v>
      </c>
      <c r="F19" s="31" t="s">
        <v>279</v>
      </c>
      <c r="G19" s="31" t="s">
        <v>280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57.75" customHeight="1">
      <c r="A20" s="23" t="s">
        <v>292</v>
      </c>
      <c r="B20" s="25" t="s">
        <v>295</v>
      </c>
      <c r="C20" s="26" t="s">
        <v>80</v>
      </c>
      <c r="D20" s="28" t="s">
        <v>81</v>
      </c>
      <c r="E20" s="28" t="s">
        <v>81</v>
      </c>
      <c r="F20" s="31" t="s">
        <v>298</v>
      </c>
      <c r="G20" s="31" t="s">
        <v>299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57.75" customHeight="1">
      <c r="A21" s="23" t="s">
        <v>311</v>
      </c>
      <c r="B21" s="25" t="s">
        <v>313</v>
      </c>
      <c r="C21" s="26" t="s">
        <v>315</v>
      </c>
      <c r="D21" s="28" t="s">
        <v>315</v>
      </c>
      <c r="E21" s="28" t="s">
        <v>318</v>
      </c>
      <c r="F21" s="31" t="s">
        <v>318</v>
      </c>
      <c r="G21" s="31" t="s">
        <v>318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57.75" customHeight="1">
      <c r="A22" s="23" t="s">
        <v>330</v>
      </c>
      <c r="B22" s="25" t="s">
        <v>331</v>
      </c>
      <c r="C22" s="26" t="s">
        <v>80</v>
      </c>
      <c r="D22" s="28" t="s">
        <v>81</v>
      </c>
      <c r="E22" s="28" t="s">
        <v>81</v>
      </c>
      <c r="F22" s="31" t="s">
        <v>335</v>
      </c>
      <c r="G22" s="31" t="s">
        <v>337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57.75" customHeight="1">
      <c r="A23" s="23" t="s">
        <v>346</v>
      </c>
      <c r="B23" s="25" t="s">
        <v>350</v>
      </c>
      <c r="C23" s="26" t="s">
        <v>80</v>
      </c>
      <c r="D23" s="28" t="s">
        <v>81</v>
      </c>
      <c r="E23" s="28" t="s">
        <v>81</v>
      </c>
      <c r="F23" s="31" t="s">
        <v>354</v>
      </c>
      <c r="G23" s="31" t="s">
        <v>356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57.75" customHeight="1">
      <c r="A24" s="23" t="s">
        <v>364</v>
      </c>
      <c r="B24" s="25" t="s">
        <v>368</v>
      </c>
      <c r="C24" s="38" t="s">
        <v>372</v>
      </c>
      <c r="D24" s="28" t="s">
        <v>81</v>
      </c>
      <c r="E24" s="28" t="s">
        <v>81</v>
      </c>
      <c r="F24" s="31" t="s">
        <v>373</v>
      </c>
      <c r="G24" s="31" t="s">
        <v>376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57.75" customHeight="1">
      <c r="A25" s="23" t="s">
        <v>383</v>
      </c>
      <c r="B25" s="25" t="s">
        <v>385</v>
      </c>
      <c r="C25" s="38" t="s">
        <v>387</v>
      </c>
      <c r="D25" s="28" t="s">
        <v>81</v>
      </c>
      <c r="E25" s="28" t="s">
        <v>81</v>
      </c>
      <c r="F25" s="31" t="s">
        <v>394</v>
      </c>
      <c r="G25" s="31" t="s">
        <v>395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57.75" customHeight="1">
      <c r="A26" s="23" t="s">
        <v>409</v>
      </c>
      <c r="B26" s="25" t="s">
        <v>410</v>
      </c>
      <c r="C26" s="26" t="s">
        <v>80</v>
      </c>
      <c r="D26" s="28" t="s">
        <v>81</v>
      </c>
      <c r="E26" s="28" t="s">
        <v>81</v>
      </c>
      <c r="F26" s="31" t="s">
        <v>412</v>
      </c>
      <c r="G26" s="31" t="s">
        <v>415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57.75" customHeight="1">
      <c r="A27" s="23" t="s">
        <v>423</v>
      </c>
      <c r="B27" s="25" t="s">
        <v>424</v>
      </c>
      <c r="C27" s="26" t="s">
        <v>80</v>
      </c>
      <c r="D27" s="28" t="s">
        <v>81</v>
      </c>
      <c r="E27" s="28" t="s">
        <v>81</v>
      </c>
      <c r="F27" s="31" t="s">
        <v>425</v>
      </c>
      <c r="G27" s="38" t="s">
        <v>427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57.75" customHeight="1">
      <c r="A28" s="23" t="s">
        <v>441</v>
      </c>
      <c r="B28" s="25" t="s">
        <v>442</v>
      </c>
      <c r="C28" s="38" t="s">
        <v>443</v>
      </c>
      <c r="D28" s="28" t="s">
        <v>81</v>
      </c>
      <c r="E28" s="28" t="s">
        <v>81</v>
      </c>
      <c r="F28" s="31" t="s">
        <v>444</v>
      </c>
      <c r="G28" s="31" t="s">
        <v>445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57.75" customHeight="1">
      <c r="A29" s="23" t="s">
        <v>451</v>
      </c>
      <c r="B29" s="25" t="s">
        <v>453</v>
      </c>
      <c r="C29" s="26" t="s">
        <v>80</v>
      </c>
      <c r="D29" s="28" t="s">
        <v>81</v>
      </c>
      <c r="E29" s="28" t="s">
        <v>81</v>
      </c>
      <c r="F29" s="31" t="s">
        <v>454</v>
      </c>
      <c r="G29" s="31" t="s">
        <v>455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57.75" customHeight="1">
      <c r="A30" s="23" t="s">
        <v>465</v>
      </c>
      <c r="B30" s="25" t="s">
        <v>468</v>
      </c>
      <c r="C30" s="26" t="s">
        <v>80</v>
      </c>
      <c r="D30" s="28" t="s">
        <v>81</v>
      </c>
      <c r="E30" s="28" t="s">
        <v>81</v>
      </c>
      <c r="F30" s="31" t="s">
        <v>472</v>
      </c>
      <c r="G30" s="31" t="s">
        <v>473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57.75" customHeight="1">
      <c r="A31" s="23" t="s">
        <v>476</v>
      </c>
      <c r="B31" s="25" t="s">
        <v>478</v>
      </c>
      <c r="C31" s="26" t="s">
        <v>80</v>
      </c>
      <c r="D31" s="28" t="s">
        <v>81</v>
      </c>
      <c r="E31" s="28" t="s">
        <v>479</v>
      </c>
      <c r="F31" s="31" t="s">
        <v>481</v>
      </c>
      <c r="G31" s="31" t="s">
        <v>482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57.75" customHeight="1">
      <c r="A32" s="23" t="s">
        <v>485</v>
      </c>
      <c r="B32" s="25" t="s">
        <v>486</v>
      </c>
      <c r="C32" s="26" t="s">
        <v>80</v>
      </c>
      <c r="D32" s="28" t="s">
        <v>81</v>
      </c>
      <c r="E32" s="28" t="s">
        <v>81</v>
      </c>
      <c r="F32" s="31" t="s">
        <v>487</v>
      </c>
      <c r="G32" s="31" t="s">
        <v>489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57.75" customHeight="1">
      <c r="A33" s="23" t="s">
        <v>496</v>
      </c>
      <c r="B33" s="25" t="s">
        <v>497</v>
      </c>
      <c r="C33" s="38" t="s">
        <v>80</v>
      </c>
      <c r="D33" s="38" t="s">
        <v>81</v>
      </c>
      <c r="E33" s="38" t="s">
        <v>81</v>
      </c>
      <c r="F33" s="38" t="s">
        <v>498</v>
      </c>
      <c r="G33" s="38" t="s">
        <v>499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57.75" customHeight="1">
      <c r="A34" s="23" t="s">
        <v>500</v>
      </c>
      <c r="B34" s="25" t="s">
        <v>501</v>
      </c>
      <c r="C34" s="26" t="s">
        <v>502</v>
      </c>
      <c r="D34" s="28" t="s">
        <v>502</v>
      </c>
      <c r="E34" s="28" t="s">
        <v>502</v>
      </c>
      <c r="F34" s="31" t="s">
        <v>502</v>
      </c>
      <c r="G34" s="38" t="s">
        <v>502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57.75" customHeight="1">
      <c r="A35" s="23" t="s">
        <v>506</v>
      </c>
      <c r="B35" s="25" t="s">
        <v>508</v>
      </c>
      <c r="C35" s="26" t="s">
        <v>80</v>
      </c>
      <c r="D35" s="28" t="s">
        <v>81</v>
      </c>
      <c r="E35" s="28" t="s">
        <v>81</v>
      </c>
      <c r="F35" s="31" t="s">
        <v>513</v>
      </c>
      <c r="G35" s="38" t="s">
        <v>514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57.75" customHeight="1">
      <c r="A36" s="23" t="s">
        <v>516</v>
      </c>
      <c r="B36" s="25" t="s">
        <v>518</v>
      </c>
      <c r="C36" s="26" t="s">
        <v>80</v>
      </c>
      <c r="D36" s="28" t="s">
        <v>81</v>
      </c>
      <c r="E36" s="28" t="s">
        <v>81</v>
      </c>
      <c r="F36" s="31" t="s">
        <v>520</v>
      </c>
      <c r="G36" s="31" t="s">
        <v>521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57.75" customHeight="1">
      <c r="A37" s="23" t="s">
        <v>524</v>
      </c>
      <c r="B37" s="25" t="s">
        <v>526</v>
      </c>
      <c r="C37" s="26" t="s">
        <v>80</v>
      </c>
      <c r="D37" s="28" t="s">
        <v>81</v>
      </c>
      <c r="E37" s="28" t="s">
        <v>81</v>
      </c>
      <c r="F37" s="31" t="s">
        <v>531</v>
      </c>
      <c r="G37" s="31" t="s">
        <v>532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57.75" customHeight="1">
      <c r="A38" s="23" t="s">
        <v>534</v>
      </c>
      <c r="B38" s="25" t="s">
        <v>535</v>
      </c>
      <c r="C38" s="26" t="s">
        <v>80</v>
      </c>
      <c r="D38" s="28" t="s">
        <v>81</v>
      </c>
      <c r="E38" s="28" t="s">
        <v>81</v>
      </c>
      <c r="F38" s="31" t="s">
        <v>538</v>
      </c>
      <c r="G38" s="38" t="s">
        <v>539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57.75" customHeight="1">
      <c r="A39" s="23" t="s">
        <v>540</v>
      </c>
      <c r="B39" s="25" t="s">
        <v>541</v>
      </c>
      <c r="C39" s="26" t="s">
        <v>80</v>
      </c>
      <c r="D39" s="28" t="s">
        <v>81</v>
      </c>
      <c r="E39" s="28" t="s">
        <v>81</v>
      </c>
      <c r="F39" s="31" t="s">
        <v>545</v>
      </c>
      <c r="G39" s="31" t="s">
        <v>547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57.75" customHeight="1">
      <c r="A40" s="23" t="s">
        <v>552</v>
      </c>
      <c r="B40" s="25" t="s">
        <v>553</v>
      </c>
      <c r="C40" s="26" t="s">
        <v>80</v>
      </c>
      <c r="D40" s="28" t="s">
        <v>81</v>
      </c>
      <c r="E40" s="28" t="s">
        <v>81</v>
      </c>
      <c r="F40" s="31" t="s">
        <v>555</v>
      </c>
      <c r="G40" s="31" t="s">
        <v>557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57.75" customHeight="1">
      <c r="A41" s="23" t="s">
        <v>561</v>
      </c>
      <c r="B41" s="25" t="s">
        <v>562</v>
      </c>
      <c r="C41" s="26" t="s">
        <v>80</v>
      </c>
      <c r="D41" s="28" t="s">
        <v>81</v>
      </c>
      <c r="E41" s="28" t="s">
        <v>81</v>
      </c>
      <c r="F41" s="31" t="s">
        <v>565</v>
      </c>
      <c r="G41" s="31" t="s">
        <v>567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57.75" customHeight="1">
      <c r="A42" s="23" t="s">
        <v>572</v>
      </c>
      <c r="B42" s="25" t="s">
        <v>573</v>
      </c>
      <c r="C42" s="26" t="s">
        <v>80</v>
      </c>
      <c r="D42" s="28" t="s">
        <v>81</v>
      </c>
      <c r="E42" s="28" t="s">
        <v>81</v>
      </c>
      <c r="F42" s="31" t="s">
        <v>574</v>
      </c>
      <c r="G42" s="31" t="s">
        <v>575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57.75" customHeight="1">
      <c r="A43" s="23" t="s">
        <v>578</v>
      </c>
      <c r="B43" s="25" t="s">
        <v>579</v>
      </c>
      <c r="C43" s="26" t="s">
        <v>80</v>
      </c>
      <c r="D43" s="28" t="s">
        <v>81</v>
      </c>
      <c r="E43" s="28" t="s">
        <v>81</v>
      </c>
      <c r="F43" s="31" t="s">
        <v>580</v>
      </c>
      <c r="G43" s="31" t="s">
        <v>581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1">
    <mergeCell ref="A1:G1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4.43"/>
  </cols>
  <sheetData>
    <row r="1" ht="15.0" customHeight="1">
      <c r="A1" s="1" t="s">
        <v>1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0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39.0" customHeight="1">
      <c r="A3" s="9" t="s">
        <v>5</v>
      </c>
      <c r="B3" s="9" t="s">
        <v>7</v>
      </c>
      <c r="C3" s="9" t="s">
        <v>9</v>
      </c>
      <c r="D3" s="9" t="s">
        <v>10</v>
      </c>
      <c r="E3" s="9" t="s">
        <v>11</v>
      </c>
      <c r="F3" s="9" t="s">
        <v>12</v>
      </c>
      <c r="G3" s="9" t="s">
        <v>13</v>
      </c>
      <c r="H3" s="9" t="s">
        <v>14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39.0" customHeight="1">
      <c r="A4" s="15" t="s">
        <v>18</v>
      </c>
      <c r="B4" s="15" t="s">
        <v>19</v>
      </c>
      <c r="C4" s="15" t="s">
        <v>20</v>
      </c>
      <c r="D4" s="18" t="s">
        <v>22</v>
      </c>
      <c r="E4" s="15" t="s">
        <v>25</v>
      </c>
      <c r="F4" s="15" t="s">
        <v>28</v>
      </c>
      <c r="G4" s="15" t="s">
        <v>31</v>
      </c>
      <c r="H4" s="15" t="s">
        <v>33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64.5" customHeight="1">
      <c r="A5" s="15" t="s">
        <v>18</v>
      </c>
      <c r="B5" s="15" t="s">
        <v>40</v>
      </c>
      <c r="C5" s="15" t="s">
        <v>20</v>
      </c>
      <c r="D5" s="22" t="s">
        <v>45</v>
      </c>
      <c r="E5" s="15" t="s">
        <v>46</v>
      </c>
      <c r="F5" s="15" t="s">
        <v>47</v>
      </c>
      <c r="G5" s="15" t="s">
        <v>48</v>
      </c>
      <c r="H5" s="15" t="s">
        <v>51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64.5" customHeight="1">
      <c r="A6" s="15" t="s">
        <v>55</v>
      </c>
      <c r="B6" s="15" t="s">
        <v>41</v>
      </c>
      <c r="C6" s="15" t="s">
        <v>58</v>
      </c>
      <c r="D6" s="22" t="s">
        <v>45</v>
      </c>
      <c r="E6" s="15" t="s">
        <v>62</v>
      </c>
      <c r="F6" s="15" t="s">
        <v>63</v>
      </c>
      <c r="G6" s="15" t="s">
        <v>64</v>
      </c>
      <c r="H6" s="30" t="s">
        <v>65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77.25" customHeight="1">
      <c r="A7" s="15" t="s">
        <v>69</v>
      </c>
      <c r="B7" s="15" t="s">
        <v>70</v>
      </c>
      <c r="C7" s="15" t="s">
        <v>71</v>
      </c>
      <c r="D7" s="18" t="s">
        <v>22</v>
      </c>
      <c r="E7" s="15" t="s">
        <v>72</v>
      </c>
      <c r="F7" s="15" t="s">
        <v>74</v>
      </c>
      <c r="G7" s="15" t="s">
        <v>75</v>
      </c>
      <c r="H7" s="15" t="s">
        <v>76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51.75" customHeight="1">
      <c r="A8" s="15" t="s">
        <v>69</v>
      </c>
      <c r="B8" s="15" t="s">
        <v>41</v>
      </c>
      <c r="C8" s="15" t="s">
        <v>71</v>
      </c>
      <c r="D8" s="22" t="s">
        <v>45</v>
      </c>
      <c r="E8" s="15" t="s">
        <v>86</v>
      </c>
      <c r="F8" s="15" t="s">
        <v>31</v>
      </c>
      <c r="G8" s="15" t="s">
        <v>87</v>
      </c>
      <c r="H8" s="30" t="s">
        <v>88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77.25" customHeight="1">
      <c r="A9" s="15" t="s">
        <v>91</v>
      </c>
      <c r="B9" s="15" t="s">
        <v>70</v>
      </c>
      <c r="C9" s="15" t="s">
        <v>94</v>
      </c>
      <c r="D9" s="18" t="s">
        <v>22</v>
      </c>
      <c r="E9" s="15" t="s">
        <v>97</v>
      </c>
      <c r="F9" s="15" t="s">
        <v>98</v>
      </c>
      <c r="G9" s="15" t="s">
        <v>99</v>
      </c>
      <c r="H9" s="15" t="s">
        <v>101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39.0" customHeight="1">
      <c r="A10" s="15" t="s">
        <v>91</v>
      </c>
      <c r="B10" s="15" t="s">
        <v>41</v>
      </c>
      <c r="C10" s="15" t="s">
        <v>94</v>
      </c>
      <c r="D10" s="22" t="s">
        <v>45</v>
      </c>
      <c r="E10" s="15" t="s">
        <v>109</v>
      </c>
      <c r="F10" s="15" t="s">
        <v>110</v>
      </c>
      <c r="G10" s="15" t="s">
        <v>112</v>
      </c>
      <c r="H10" s="15" t="s">
        <v>113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51.75" customHeight="1">
      <c r="A11" s="15" t="s">
        <v>117</v>
      </c>
      <c r="B11" s="15" t="s">
        <v>41</v>
      </c>
      <c r="C11" s="15" t="s">
        <v>118</v>
      </c>
      <c r="D11" s="22" t="s">
        <v>45</v>
      </c>
      <c r="E11" s="15" t="s">
        <v>119</v>
      </c>
      <c r="F11" s="15" t="s">
        <v>120</v>
      </c>
      <c r="G11" s="15" t="s">
        <v>121</v>
      </c>
      <c r="H11" s="15" t="s">
        <v>122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39.0" customHeight="1">
      <c r="A12" s="15" t="s">
        <v>127</v>
      </c>
      <c r="B12" s="15" t="s">
        <v>70</v>
      </c>
      <c r="C12" s="15" t="s">
        <v>129</v>
      </c>
      <c r="D12" s="18" t="s">
        <v>22</v>
      </c>
      <c r="E12" s="15" t="s">
        <v>133</v>
      </c>
      <c r="F12" s="15" t="s">
        <v>134</v>
      </c>
      <c r="G12" s="15" t="s">
        <v>135</v>
      </c>
      <c r="H12" s="30" t="s">
        <v>33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64.5" customHeight="1">
      <c r="A13" s="15" t="s">
        <v>138</v>
      </c>
      <c r="B13" s="15" t="s">
        <v>70</v>
      </c>
      <c r="C13" s="15" t="s">
        <v>140</v>
      </c>
      <c r="D13" s="18" t="s">
        <v>22</v>
      </c>
      <c r="E13" s="15" t="s">
        <v>142</v>
      </c>
      <c r="F13" s="15" t="s">
        <v>143</v>
      </c>
      <c r="G13" s="15" t="s">
        <v>145</v>
      </c>
      <c r="H13" s="15" t="s">
        <v>146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77.25" customHeight="1">
      <c r="A14" s="15" t="s">
        <v>151</v>
      </c>
      <c r="B14" s="15" t="s">
        <v>70</v>
      </c>
      <c r="C14" s="15" t="s">
        <v>153</v>
      </c>
      <c r="D14" s="18" t="s">
        <v>22</v>
      </c>
      <c r="E14" s="15" t="s">
        <v>155</v>
      </c>
      <c r="F14" s="15" t="s">
        <v>156</v>
      </c>
      <c r="G14" s="15" t="s">
        <v>158</v>
      </c>
      <c r="H14" s="15" t="s">
        <v>161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90.0" customHeight="1">
      <c r="A15" s="15" t="s">
        <v>167</v>
      </c>
      <c r="B15" s="15" t="s">
        <v>70</v>
      </c>
      <c r="C15" s="15" t="s">
        <v>170</v>
      </c>
      <c r="D15" s="18" t="s">
        <v>22</v>
      </c>
      <c r="E15" s="15" t="s">
        <v>171</v>
      </c>
      <c r="F15" s="15" t="s">
        <v>173</v>
      </c>
      <c r="G15" s="15" t="s">
        <v>175</v>
      </c>
      <c r="H15" s="15" t="s">
        <v>177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64.5" customHeight="1">
      <c r="A16" s="15" t="s">
        <v>184</v>
      </c>
      <c r="B16" s="15" t="s">
        <v>41</v>
      </c>
      <c r="C16" s="15" t="s">
        <v>186</v>
      </c>
      <c r="D16" s="22" t="s">
        <v>45</v>
      </c>
      <c r="E16" s="15" t="s">
        <v>188</v>
      </c>
      <c r="F16" s="15" t="s">
        <v>189</v>
      </c>
      <c r="G16" s="15" t="s">
        <v>121</v>
      </c>
      <c r="H16" s="30" t="s">
        <v>190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15.5" customHeight="1">
      <c r="A17" s="15" t="s">
        <v>201</v>
      </c>
      <c r="B17" s="15" t="s">
        <v>57</v>
      </c>
      <c r="C17" s="15" t="s">
        <v>202</v>
      </c>
      <c r="D17" s="18" t="s">
        <v>22</v>
      </c>
      <c r="E17" s="15" t="s">
        <v>204</v>
      </c>
      <c r="F17" s="15" t="s">
        <v>206</v>
      </c>
      <c r="G17" s="15" t="s">
        <v>207</v>
      </c>
      <c r="H17" s="30" t="s">
        <v>209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39.0" customHeight="1">
      <c r="A18" s="15" t="s">
        <v>215</v>
      </c>
      <c r="B18" s="15" t="s">
        <v>57</v>
      </c>
      <c r="C18" s="15" t="s">
        <v>218</v>
      </c>
      <c r="D18" s="18" t="s">
        <v>22</v>
      </c>
      <c r="E18" s="15" t="s">
        <v>221</v>
      </c>
      <c r="F18" s="15" t="s">
        <v>222</v>
      </c>
      <c r="G18" s="15" t="s">
        <v>31</v>
      </c>
      <c r="H18" s="15" t="s">
        <v>223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39.0" customHeight="1">
      <c r="A19" s="15" t="s">
        <v>215</v>
      </c>
      <c r="B19" s="15" t="s">
        <v>40</v>
      </c>
      <c r="C19" s="15" t="s">
        <v>218</v>
      </c>
      <c r="D19" s="22" t="s">
        <v>45</v>
      </c>
      <c r="E19" s="15" t="s">
        <v>236</v>
      </c>
      <c r="F19" s="15" t="s">
        <v>238</v>
      </c>
      <c r="G19" s="15" t="s">
        <v>121</v>
      </c>
      <c r="H19" s="30" t="s">
        <v>239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51.75" customHeight="1">
      <c r="A20" s="15" t="s">
        <v>247</v>
      </c>
      <c r="B20" s="15" t="s">
        <v>41</v>
      </c>
      <c r="C20" s="15" t="s">
        <v>249</v>
      </c>
      <c r="D20" s="22" t="s">
        <v>45</v>
      </c>
      <c r="E20" s="15" t="s">
        <v>252</v>
      </c>
      <c r="F20" s="15" t="s">
        <v>31</v>
      </c>
      <c r="G20" s="15" t="s">
        <v>254</v>
      </c>
      <c r="H20" s="30" t="s">
        <v>256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64.5" customHeight="1">
      <c r="A21" s="15" t="s">
        <v>267</v>
      </c>
      <c r="B21" s="15" t="s">
        <v>57</v>
      </c>
      <c r="C21" s="15" t="s">
        <v>269</v>
      </c>
      <c r="D21" s="18" t="s">
        <v>22</v>
      </c>
      <c r="E21" s="15" t="s">
        <v>271</v>
      </c>
      <c r="F21" s="15" t="s">
        <v>272</v>
      </c>
      <c r="G21" s="15" t="s">
        <v>31</v>
      </c>
      <c r="H21" s="15" t="s">
        <v>275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64.5" customHeight="1">
      <c r="A22" s="15" t="s">
        <v>281</v>
      </c>
      <c r="B22" s="15" t="s">
        <v>41</v>
      </c>
      <c r="C22" s="15" t="s">
        <v>282</v>
      </c>
      <c r="D22" s="22" t="s">
        <v>45</v>
      </c>
      <c r="E22" s="15" t="s">
        <v>283</v>
      </c>
      <c r="F22" s="15" t="s">
        <v>284</v>
      </c>
      <c r="G22" s="15" t="s">
        <v>285</v>
      </c>
      <c r="H22" s="30" t="s">
        <v>286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39.0" customHeight="1">
      <c r="A23" s="15" t="s">
        <v>281</v>
      </c>
      <c r="B23" s="15" t="s">
        <v>57</v>
      </c>
      <c r="C23" s="15" t="s">
        <v>282</v>
      </c>
      <c r="D23" s="18" t="s">
        <v>22</v>
      </c>
      <c r="E23" s="15" t="s">
        <v>297</v>
      </c>
      <c r="F23" s="15" t="s">
        <v>134</v>
      </c>
      <c r="G23" s="15" t="s">
        <v>31</v>
      </c>
      <c r="H23" s="15" t="s">
        <v>33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51.75" customHeight="1">
      <c r="A24" s="15" t="s">
        <v>304</v>
      </c>
      <c r="B24" s="15" t="s">
        <v>41</v>
      </c>
      <c r="C24" s="15" t="s">
        <v>306</v>
      </c>
      <c r="D24" s="22" t="s">
        <v>45</v>
      </c>
      <c r="E24" s="15" t="s">
        <v>307</v>
      </c>
      <c r="F24" s="15" t="s">
        <v>308</v>
      </c>
      <c r="G24" s="15" t="s">
        <v>309</v>
      </c>
      <c r="H24" s="15" t="s">
        <v>310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90.0" customHeight="1">
      <c r="A25" s="15" t="s">
        <v>319</v>
      </c>
      <c r="B25" s="15" t="s">
        <v>70</v>
      </c>
      <c r="C25" s="15" t="s">
        <v>322</v>
      </c>
      <c r="D25" s="18" t="s">
        <v>22</v>
      </c>
      <c r="E25" s="15" t="s">
        <v>324</v>
      </c>
      <c r="F25" s="15" t="s">
        <v>325</v>
      </c>
      <c r="G25" s="15" t="s">
        <v>31</v>
      </c>
      <c r="H25" s="15" t="s">
        <v>326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39.0" customHeight="1">
      <c r="A26" s="15" t="s">
        <v>329</v>
      </c>
      <c r="B26" s="15" t="s">
        <v>70</v>
      </c>
      <c r="C26" s="15" t="s">
        <v>332</v>
      </c>
      <c r="D26" s="18" t="s">
        <v>22</v>
      </c>
      <c r="E26" s="15" t="s">
        <v>333</v>
      </c>
      <c r="F26" s="15" t="s">
        <v>334</v>
      </c>
      <c r="G26" s="15" t="s">
        <v>31</v>
      </c>
      <c r="H26" s="15" t="s">
        <v>336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51.75" customHeight="1">
      <c r="A27" s="15" t="s">
        <v>329</v>
      </c>
      <c r="B27" s="15" t="s">
        <v>41</v>
      </c>
      <c r="C27" s="15" t="s">
        <v>332</v>
      </c>
      <c r="D27" s="22" t="s">
        <v>45</v>
      </c>
      <c r="E27" s="15" t="s">
        <v>347</v>
      </c>
      <c r="F27" s="15" t="s">
        <v>349</v>
      </c>
      <c r="G27" s="15" t="s">
        <v>121</v>
      </c>
      <c r="H27" s="30" t="s">
        <v>353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39.0" customHeight="1">
      <c r="A28" s="15" t="s">
        <v>357</v>
      </c>
      <c r="B28" s="15" t="s">
        <v>70</v>
      </c>
      <c r="C28" s="15" t="s">
        <v>360</v>
      </c>
      <c r="D28" s="18" t="s">
        <v>22</v>
      </c>
      <c r="E28" s="15" t="s">
        <v>363</v>
      </c>
      <c r="F28" s="15" t="s">
        <v>366</v>
      </c>
      <c r="G28" s="15" t="s">
        <v>31</v>
      </c>
      <c r="H28" s="15" t="s">
        <v>370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64.5" customHeight="1">
      <c r="A29" s="15" t="s">
        <v>357</v>
      </c>
      <c r="B29" s="15" t="s">
        <v>41</v>
      </c>
      <c r="C29" s="15" t="s">
        <v>360</v>
      </c>
      <c r="D29" s="22" t="s">
        <v>45</v>
      </c>
      <c r="E29" s="15" t="s">
        <v>378</v>
      </c>
      <c r="F29" s="15" t="s">
        <v>31</v>
      </c>
      <c r="G29" s="15" t="s">
        <v>379</v>
      </c>
      <c r="H29" s="15" t="s">
        <v>380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51.75" customHeight="1">
      <c r="A30" s="15" t="s">
        <v>382</v>
      </c>
      <c r="B30" s="15" t="s">
        <v>41</v>
      </c>
      <c r="C30" s="15" t="s">
        <v>384</v>
      </c>
      <c r="D30" s="22" t="s">
        <v>45</v>
      </c>
      <c r="E30" s="15" t="s">
        <v>388</v>
      </c>
      <c r="F30" s="15" t="s">
        <v>390</v>
      </c>
      <c r="G30" s="15" t="s">
        <v>391</v>
      </c>
      <c r="H30" s="15" t="s">
        <v>393</v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64.5" customHeight="1">
      <c r="A31" s="15" t="s">
        <v>396</v>
      </c>
      <c r="B31" s="15" t="s">
        <v>40</v>
      </c>
      <c r="C31" s="15" t="s">
        <v>399</v>
      </c>
      <c r="D31" s="22" t="s">
        <v>45</v>
      </c>
      <c r="E31" s="15" t="s">
        <v>402</v>
      </c>
      <c r="F31" s="15" t="s">
        <v>404</v>
      </c>
      <c r="G31" s="15" t="s">
        <v>406</v>
      </c>
      <c r="H31" s="30" t="s">
        <v>408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77.25" customHeight="1">
      <c r="A32" s="15" t="s">
        <v>413</v>
      </c>
      <c r="B32" s="15" t="s">
        <v>41</v>
      </c>
      <c r="C32" s="15" t="s">
        <v>417</v>
      </c>
      <c r="D32" s="22" t="s">
        <v>45</v>
      </c>
      <c r="E32" s="15" t="s">
        <v>418</v>
      </c>
      <c r="F32" s="15" t="s">
        <v>419</v>
      </c>
      <c r="G32" s="15" t="s">
        <v>420</v>
      </c>
      <c r="H32" s="30" t="s">
        <v>422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51.75" customHeight="1">
      <c r="A33" s="15" t="s">
        <v>429</v>
      </c>
      <c r="B33" s="15" t="s">
        <v>70</v>
      </c>
      <c r="C33" s="15" t="s">
        <v>431</v>
      </c>
      <c r="D33" s="18" t="s">
        <v>22</v>
      </c>
      <c r="E33" s="15" t="s">
        <v>434</v>
      </c>
      <c r="F33" s="15" t="s">
        <v>436</v>
      </c>
      <c r="G33" s="15" t="s">
        <v>438</v>
      </c>
      <c r="H33" s="15" t="s">
        <v>440</v>
      </c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51.75" customHeight="1">
      <c r="A34" s="15" t="s">
        <v>429</v>
      </c>
      <c r="B34" s="15" t="s">
        <v>41</v>
      </c>
      <c r="C34" s="15" t="s">
        <v>431</v>
      </c>
      <c r="D34" s="22" t="s">
        <v>45</v>
      </c>
      <c r="E34" s="15" t="s">
        <v>447</v>
      </c>
      <c r="F34" s="15" t="s">
        <v>449</v>
      </c>
      <c r="G34" s="15" t="s">
        <v>450</v>
      </c>
      <c r="H34" s="15" t="s">
        <v>452</v>
      </c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51.75" customHeight="1">
      <c r="A35" s="15" t="s">
        <v>456</v>
      </c>
      <c r="B35" s="15" t="s">
        <v>70</v>
      </c>
      <c r="C35" s="15" t="s">
        <v>457</v>
      </c>
      <c r="D35" s="18" t="s">
        <v>22</v>
      </c>
      <c r="E35" s="15" t="s">
        <v>460</v>
      </c>
      <c r="F35" s="15" t="s">
        <v>461</v>
      </c>
      <c r="G35" s="15" t="s">
        <v>463</v>
      </c>
      <c r="H35" s="15" t="s">
        <v>466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0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0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0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0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0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0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0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0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0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0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0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0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0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0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0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0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0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0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0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0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0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0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0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0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0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0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0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0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0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0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0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0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0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0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0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0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0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0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0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0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0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0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0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0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0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0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0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0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0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0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0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0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0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0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0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0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0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0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0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0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0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0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0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0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0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0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0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0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0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0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0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0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0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0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0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0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0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0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0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0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0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0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0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0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0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0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0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0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0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0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0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0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0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0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0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0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0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0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0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0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0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0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0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0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0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0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0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0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0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0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0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0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0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0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0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0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0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0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0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0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0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0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0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0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0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0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0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0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0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0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0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0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0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0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0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0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0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0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0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0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0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0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0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0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0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0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0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0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0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0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0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0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0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0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0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0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0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0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0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0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0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0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0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0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0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0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0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0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0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0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0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0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0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0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0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0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0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0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0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0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0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0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0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0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0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0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0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0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0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0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0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0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0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0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0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0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0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0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0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0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H1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0.0"/>
    <col customWidth="1" min="2" max="2" width="12.0"/>
    <col customWidth="1" min="3" max="3" width="16.0"/>
    <col customWidth="1" min="4" max="4" width="8.0"/>
    <col customWidth="1" min="5" max="5" width="34.0"/>
    <col customWidth="1" min="6" max="6" width="38.0"/>
    <col customWidth="1" min="7" max="7" width="28.0"/>
    <col customWidth="1" min="8" max="8" width="12.0"/>
  </cols>
  <sheetData>
    <row r="1" ht="15.0" customHeight="1">
      <c r="A1" s="1" t="s">
        <v>1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23.25" customHeight="1">
      <c r="A3" s="16" t="s">
        <v>5</v>
      </c>
      <c r="B3" s="16" t="s">
        <v>7</v>
      </c>
      <c r="C3" s="16" t="s">
        <v>9</v>
      </c>
      <c r="D3" s="16" t="s">
        <v>10</v>
      </c>
      <c r="E3" s="16" t="s">
        <v>11</v>
      </c>
      <c r="F3" s="16" t="s">
        <v>12</v>
      </c>
      <c r="G3" s="16" t="s">
        <v>13</v>
      </c>
      <c r="H3" s="16" t="s">
        <v>14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0" customHeight="1">
      <c r="A4" s="110" t="s">
        <v>18</v>
      </c>
      <c r="B4" s="110" t="s">
        <v>19</v>
      </c>
      <c r="C4" s="110" t="s">
        <v>20</v>
      </c>
      <c r="D4" s="111" t="s">
        <v>22</v>
      </c>
      <c r="E4" s="110" t="s">
        <v>25</v>
      </c>
      <c r="F4" s="110" t="s">
        <v>28</v>
      </c>
      <c r="G4" s="110" t="s">
        <v>31</v>
      </c>
      <c r="H4" s="110" t="s">
        <v>824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0" customHeight="1">
      <c r="A5" s="110" t="s">
        <v>18</v>
      </c>
      <c r="B5" s="110" t="s">
        <v>40</v>
      </c>
      <c r="C5" s="110" t="s">
        <v>20</v>
      </c>
      <c r="D5" s="112" t="s">
        <v>45</v>
      </c>
      <c r="E5" s="110" t="s">
        <v>46</v>
      </c>
      <c r="F5" s="110" t="s">
        <v>47</v>
      </c>
      <c r="G5" s="110" t="s">
        <v>48</v>
      </c>
      <c r="H5" s="110" t="s">
        <v>824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0" customHeight="1">
      <c r="A6" s="110" t="s">
        <v>55</v>
      </c>
      <c r="B6" s="110" t="s">
        <v>41</v>
      </c>
      <c r="C6" s="110" t="s">
        <v>58</v>
      </c>
      <c r="D6" s="112" t="s">
        <v>45</v>
      </c>
      <c r="E6" s="110" t="s">
        <v>62</v>
      </c>
      <c r="F6" s="110" t="s">
        <v>63</v>
      </c>
      <c r="G6" s="110" t="s">
        <v>64</v>
      </c>
      <c r="H6" s="113" t="s">
        <v>825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23.25" customHeight="1">
      <c r="A7" s="110" t="s">
        <v>69</v>
      </c>
      <c r="B7" s="110" t="s">
        <v>70</v>
      </c>
      <c r="C7" s="110" t="s">
        <v>71</v>
      </c>
      <c r="D7" s="111" t="s">
        <v>22</v>
      </c>
      <c r="E7" s="110" t="s">
        <v>72</v>
      </c>
      <c r="F7" s="110" t="s">
        <v>74</v>
      </c>
      <c r="G7" s="110" t="s">
        <v>75</v>
      </c>
      <c r="H7" s="110" t="s">
        <v>824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0" customHeight="1">
      <c r="A8" s="110" t="s">
        <v>69</v>
      </c>
      <c r="B8" s="110" t="s">
        <v>41</v>
      </c>
      <c r="C8" s="110" t="s">
        <v>71</v>
      </c>
      <c r="D8" s="112" t="s">
        <v>45</v>
      </c>
      <c r="E8" s="110" t="s">
        <v>86</v>
      </c>
      <c r="F8" s="110" t="s">
        <v>31</v>
      </c>
      <c r="G8" s="110" t="s">
        <v>87</v>
      </c>
      <c r="H8" s="113" t="s">
        <v>825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23.25" customHeight="1">
      <c r="A9" s="110" t="s">
        <v>91</v>
      </c>
      <c r="B9" s="110" t="s">
        <v>70</v>
      </c>
      <c r="C9" s="110" t="s">
        <v>94</v>
      </c>
      <c r="D9" s="111" t="s">
        <v>22</v>
      </c>
      <c r="E9" s="110" t="s">
        <v>97</v>
      </c>
      <c r="F9" s="110" t="s">
        <v>98</v>
      </c>
      <c r="G9" s="110" t="s">
        <v>99</v>
      </c>
      <c r="H9" s="110" t="s">
        <v>824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0" customHeight="1">
      <c r="A10" s="110" t="s">
        <v>91</v>
      </c>
      <c r="B10" s="110" t="s">
        <v>41</v>
      </c>
      <c r="C10" s="110" t="s">
        <v>94</v>
      </c>
      <c r="D10" s="112" t="s">
        <v>45</v>
      </c>
      <c r="E10" s="110" t="s">
        <v>109</v>
      </c>
      <c r="F10" s="110" t="s">
        <v>110</v>
      </c>
      <c r="G10" s="110" t="s">
        <v>112</v>
      </c>
      <c r="H10" s="110" t="s">
        <v>824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0" customHeight="1">
      <c r="A11" s="110" t="s">
        <v>117</v>
      </c>
      <c r="B11" s="110" t="s">
        <v>41</v>
      </c>
      <c r="C11" s="110" t="s">
        <v>118</v>
      </c>
      <c r="D11" s="112" t="s">
        <v>45</v>
      </c>
      <c r="E11" s="110" t="s">
        <v>119</v>
      </c>
      <c r="F11" s="110" t="s">
        <v>120</v>
      </c>
      <c r="G11" s="110" t="s">
        <v>121</v>
      </c>
      <c r="H11" s="110" t="s">
        <v>824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0" customHeight="1">
      <c r="A12" s="110" t="s">
        <v>127</v>
      </c>
      <c r="B12" s="110" t="s">
        <v>70</v>
      </c>
      <c r="C12" s="110" t="s">
        <v>129</v>
      </c>
      <c r="D12" s="111" t="s">
        <v>22</v>
      </c>
      <c r="E12" s="110" t="s">
        <v>133</v>
      </c>
      <c r="F12" s="110" t="s">
        <v>134</v>
      </c>
      <c r="G12" s="110" t="s">
        <v>135</v>
      </c>
      <c r="H12" s="113" t="s">
        <v>825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0" customHeight="1">
      <c r="A13" s="110" t="s">
        <v>138</v>
      </c>
      <c r="B13" s="110" t="s">
        <v>70</v>
      </c>
      <c r="C13" s="110" t="s">
        <v>140</v>
      </c>
      <c r="D13" s="111" t="s">
        <v>22</v>
      </c>
      <c r="E13" s="110" t="s">
        <v>142</v>
      </c>
      <c r="F13" s="110" t="s">
        <v>143</v>
      </c>
      <c r="G13" s="110" t="s">
        <v>145</v>
      </c>
      <c r="H13" s="110" t="s">
        <v>824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23.25" customHeight="1">
      <c r="A14" s="110" t="s">
        <v>151</v>
      </c>
      <c r="B14" s="110" t="s">
        <v>70</v>
      </c>
      <c r="C14" s="110" t="s">
        <v>153</v>
      </c>
      <c r="D14" s="111" t="s">
        <v>22</v>
      </c>
      <c r="E14" s="110" t="s">
        <v>155</v>
      </c>
      <c r="F14" s="110" t="s">
        <v>156</v>
      </c>
      <c r="G14" s="110" t="s">
        <v>158</v>
      </c>
      <c r="H14" s="110" t="s">
        <v>824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23.25" customHeight="1">
      <c r="A15" s="110" t="s">
        <v>167</v>
      </c>
      <c r="B15" s="110" t="s">
        <v>70</v>
      </c>
      <c r="C15" s="110" t="s">
        <v>170</v>
      </c>
      <c r="D15" s="111" t="s">
        <v>22</v>
      </c>
      <c r="E15" s="110" t="s">
        <v>171</v>
      </c>
      <c r="F15" s="110" t="s">
        <v>173</v>
      </c>
      <c r="G15" s="110" t="s">
        <v>175</v>
      </c>
      <c r="H15" s="110" t="s">
        <v>824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0" customHeight="1">
      <c r="A16" s="110" t="s">
        <v>184</v>
      </c>
      <c r="B16" s="110" t="s">
        <v>41</v>
      </c>
      <c r="C16" s="110" t="s">
        <v>186</v>
      </c>
      <c r="D16" s="112" t="s">
        <v>45</v>
      </c>
      <c r="E16" s="110" t="s">
        <v>188</v>
      </c>
      <c r="F16" s="110" t="s">
        <v>189</v>
      </c>
      <c r="G16" s="110" t="s">
        <v>121</v>
      </c>
      <c r="H16" s="113" t="s">
        <v>825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0" customHeight="1">
      <c r="A17" s="110" t="s">
        <v>201</v>
      </c>
      <c r="B17" s="110" t="s">
        <v>57</v>
      </c>
      <c r="C17" s="110" t="s">
        <v>202</v>
      </c>
      <c r="D17" s="111" t="s">
        <v>22</v>
      </c>
      <c r="E17" s="110" t="s">
        <v>204</v>
      </c>
      <c r="F17" s="110" t="s">
        <v>206</v>
      </c>
      <c r="G17" s="110" t="s">
        <v>207</v>
      </c>
      <c r="H17" s="113" t="s">
        <v>825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0" customHeight="1">
      <c r="A18" s="110" t="s">
        <v>215</v>
      </c>
      <c r="B18" s="110" t="s">
        <v>57</v>
      </c>
      <c r="C18" s="110" t="s">
        <v>218</v>
      </c>
      <c r="D18" s="111" t="s">
        <v>22</v>
      </c>
      <c r="E18" s="110" t="s">
        <v>221</v>
      </c>
      <c r="F18" s="110" t="s">
        <v>222</v>
      </c>
      <c r="G18" s="110" t="s">
        <v>31</v>
      </c>
      <c r="H18" s="110" t="s">
        <v>824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0" customHeight="1">
      <c r="A19" s="110" t="s">
        <v>215</v>
      </c>
      <c r="B19" s="110" t="s">
        <v>40</v>
      </c>
      <c r="C19" s="110" t="s">
        <v>218</v>
      </c>
      <c r="D19" s="112" t="s">
        <v>45</v>
      </c>
      <c r="E19" s="110" t="s">
        <v>236</v>
      </c>
      <c r="F19" s="110" t="s">
        <v>238</v>
      </c>
      <c r="G19" s="110" t="s">
        <v>121</v>
      </c>
      <c r="H19" s="113" t="s">
        <v>825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23.25" customHeight="1">
      <c r="A20" s="110" t="s">
        <v>247</v>
      </c>
      <c r="B20" s="110" t="s">
        <v>41</v>
      </c>
      <c r="C20" s="110" t="s">
        <v>249</v>
      </c>
      <c r="D20" s="112" t="s">
        <v>45</v>
      </c>
      <c r="E20" s="110" t="s">
        <v>252</v>
      </c>
      <c r="F20" s="110" t="s">
        <v>31</v>
      </c>
      <c r="G20" s="110" t="s">
        <v>254</v>
      </c>
      <c r="H20" s="113" t="s">
        <v>825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110" t="s">
        <v>267</v>
      </c>
      <c r="B21" s="110" t="s">
        <v>57</v>
      </c>
      <c r="C21" s="110" t="s">
        <v>269</v>
      </c>
      <c r="D21" s="111" t="s">
        <v>22</v>
      </c>
      <c r="E21" s="110" t="s">
        <v>271</v>
      </c>
      <c r="F21" s="110" t="s">
        <v>272</v>
      </c>
      <c r="G21" s="110" t="s">
        <v>31</v>
      </c>
      <c r="H21" s="110" t="s">
        <v>824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110" t="s">
        <v>281</v>
      </c>
      <c r="B22" s="110" t="s">
        <v>41</v>
      </c>
      <c r="C22" s="110" t="s">
        <v>282</v>
      </c>
      <c r="D22" s="112" t="s">
        <v>45</v>
      </c>
      <c r="E22" s="110" t="s">
        <v>283</v>
      </c>
      <c r="F22" s="110" t="s">
        <v>284</v>
      </c>
      <c r="G22" s="110" t="s">
        <v>285</v>
      </c>
      <c r="H22" s="113" t="s">
        <v>825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110" t="s">
        <v>281</v>
      </c>
      <c r="B23" s="110" t="s">
        <v>57</v>
      </c>
      <c r="C23" s="110" t="s">
        <v>282</v>
      </c>
      <c r="D23" s="111" t="s">
        <v>22</v>
      </c>
      <c r="E23" s="110" t="s">
        <v>297</v>
      </c>
      <c r="F23" s="110" t="s">
        <v>134</v>
      </c>
      <c r="G23" s="110" t="s">
        <v>31</v>
      </c>
      <c r="H23" s="110" t="s">
        <v>824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110" t="s">
        <v>304</v>
      </c>
      <c r="B24" s="110" t="s">
        <v>41</v>
      </c>
      <c r="C24" s="110" t="s">
        <v>306</v>
      </c>
      <c r="D24" s="112" t="s">
        <v>45</v>
      </c>
      <c r="E24" s="110" t="s">
        <v>307</v>
      </c>
      <c r="F24" s="110" t="s">
        <v>308</v>
      </c>
      <c r="G24" s="110" t="s">
        <v>309</v>
      </c>
      <c r="H24" s="110" t="s">
        <v>824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110" t="s">
        <v>319</v>
      </c>
      <c r="B25" s="110" t="s">
        <v>70</v>
      </c>
      <c r="C25" s="110" t="s">
        <v>322</v>
      </c>
      <c r="D25" s="111" t="s">
        <v>22</v>
      </c>
      <c r="E25" s="110" t="s">
        <v>324</v>
      </c>
      <c r="F25" s="110" t="s">
        <v>325</v>
      </c>
      <c r="G25" s="110" t="s">
        <v>31</v>
      </c>
      <c r="H25" s="110" t="s">
        <v>824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110" t="s">
        <v>329</v>
      </c>
      <c r="B26" s="110" t="s">
        <v>70</v>
      </c>
      <c r="C26" s="110" t="s">
        <v>332</v>
      </c>
      <c r="D26" s="111" t="s">
        <v>22</v>
      </c>
      <c r="E26" s="110" t="s">
        <v>333</v>
      </c>
      <c r="F26" s="110" t="s">
        <v>334</v>
      </c>
      <c r="G26" s="110" t="s">
        <v>31</v>
      </c>
      <c r="H26" s="110" t="s">
        <v>824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110" t="s">
        <v>329</v>
      </c>
      <c r="B27" s="110" t="s">
        <v>41</v>
      </c>
      <c r="C27" s="110" t="s">
        <v>332</v>
      </c>
      <c r="D27" s="112" t="s">
        <v>45</v>
      </c>
      <c r="E27" s="110" t="s">
        <v>347</v>
      </c>
      <c r="F27" s="110" t="s">
        <v>349</v>
      </c>
      <c r="G27" s="110" t="s">
        <v>121</v>
      </c>
      <c r="H27" s="113" t="s">
        <v>825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110" t="s">
        <v>357</v>
      </c>
      <c r="B28" s="110" t="s">
        <v>70</v>
      </c>
      <c r="C28" s="110" t="s">
        <v>360</v>
      </c>
      <c r="D28" s="111" t="s">
        <v>22</v>
      </c>
      <c r="E28" s="110" t="s">
        <v>363</v>
      </c>
      <c r="F28" s="110" t="s">
        <v>366</v>
      </c>
      <c r="G28" s="110" t="s">
        <v>31</v>
      </c>
      <c r="H28" s="110" t="s">
        <v>824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110" t="s">
        <v>357</v>
      </c>
      <c r="B29" s="110" t="s">
        <v>41</v>
      </c>
      <c r="C29" s="110" t="s">
        <v>360</v>
      </c>
      <c r="D29" s="112" t="s">
        <v>45</v>
      </c>
      <c r="E29" s="110" t="s">
        <v>378</v>
      </c>
      <c r="F29" s="110" t="s">
        <v>31</v>
      </c>
      <c r="G29" s="110" t="s">
        <v>379</v>
      </c>
      <c r="H29" s="110" t="s">
        <v>824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110" t="s">
        <v>382</v>
      </c>
      <c r="B30" s="110" t="s">
        <v>41</v>
      </c>
      <c r="C30" s="110" t="s">
        <v>384</v>
      </c>
      <c r="D30" s="112" t="s">
        <v>45</v>
      </c>
      <c r="E30" s="110" t="s">
        <v>388</v>
      </c>
      <c r="F30" s="110" t="s">
        <v>390</v>
      </c>
      <c r="G30" s="110" t="s">
        <v>391</v>
      </c>
      <c r="H30" s="110" t="s">
        <v>824</v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110" t="s">
        <v>396</v>
      </c>
      <c r="B31" s="110" t="s">
        <v>40</v>
      </c>
      <c r="C31" s="110" t="s">
        <v>399</v>
      </c>
      <c r="D31" s="112" t="s">
        <v>45</v>
      </c>
      <c r="E31" s="110" t="s">
        <v>402</v>
      </c>
      <c r="F31" s="110" t="s">
        <v>404</v>
      </c>
      <c r="G31" s="110" t="s">
        <v>406</v>
      </c>
      <c r="H31" s="113" t="s">
        <v>825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110" t="s">
        <v>413</v>
      </c>
      <c r="B32" s="110" t="s">
        <v>41</v>
      </c>
      <c r="C32" s="110" t="s">
        <v>417</v>
      </c>
      <c r="D32" s="112" t="s">
        <v>45</v>
      </c>
      <c r="E32" s="110" t="s">
        <v>418</v>
      </c>
      <c r="F32" s="110" t="s">
        <v>419</v>
      </c>
      <c r="G32" s="110" t="s">
        <v>420</v>
      </c>
      <c r="H32" s="113" t="s">
        <v>825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110" t="s">
        <v>429</v>
      </c>
      <c r="B33" s="110" t="s">
        <v>70</v>
      </c>
      <c r="C33" s="110" t="s">
        <v>431</v>
      </c>
      <c r="D33" s="111" t="s">
        <v>22</v>
      </c>
      <c r="E33" s="110" t="s">
        <v>434</v>
      </c>
      <c r="F33" s="110" t="s">
        <v>436</v>
      </c>
      <c r="G33" s="110" t="s">
        <v>438</v>
      </c>
      <c r="H33" s="110" t="s">
        <v>824</v>
      </c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110" t="s">
        <v>429</v>
      </c>
      <c r="B34" s="110" t="s">
        <v>41</v>
      </c>
      <c r="C34" s="110" t="s">
        <v>431</v>
      </c>
      <c r="D34" s="112" t="s">
        <v>45</v>
      </c>
      <c r="E34" s="110" t="s">
        <v>447</v>
      </c>
      <c r="F34" s="110" t="s">
        <v>449</v>
      </c>
      <c r="G34" s="110" t="s">
        <v>450</v>
      </c>
      <c r="H34" s="110" t="s">
        <v>824</v>
      </c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110" t="s">
        <v>456</v>
      </c>
      <c r="B35" s="110" t="s">
        <v>70</v>
      </c>
      <c r="C35" s="110" t="s">
        <v>457</v>
      </c>
      <c r="D35" s="111" t="s">
        <v>22</v>
      </c>
      <c r="E35" s="110" t="s">
        <v>460</v>
      </c>
      <c r="F35" s="110" t="s">
        <v>461</v>
      </c>
      <c r="G35" s="110" t="s">
        <v>463</v>
      </c>
      <c r="H35" s="110" t="s">
        <v>824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1">
    <mergeCell ref="A1:H1"/>
  </mergeCell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6.0"/>
    <col customWidth="1" min="2" max="3" width="7.0"/>
    <col customWidth="1" min="4" max="4" width="32.0"/>
    <col customWidth="1" min="5" max="5" width="10.0"/>
    <col customWidth="1" min="6" max="6" width="20.0"/>
    <col customWidth="1" min="7" max="26" width="8.71"/>
  </cols>
  <sheetData>
    <row r="1">
      <c r="A1" s="114" t="s">
        <v>826</v>
      </c>
    </row>
    <row r="2">
      <c r="A2" s="115" t="s">
        <v>827</v>
      </c>
    </row>
    <row r="4">
      <c r="A4" s="116" t="s">
        <v>828</v>
      </c>
      <c r="B4" s="116" t="s">
        <v>829</v>
      </c>
      <c r="C4" s="116" t="s">
        <v>830</v>
      </c>
      <c r="D4" s="116" t="s">
        <v>831</v>
      </c>
      <c r="E4" s="116" t="s">
        <v>832</v>
      </c>
      <c r="F4" s="116" t="s">
        <v>833</v>
      </c>
    </row>
    <row r="5">
      <c r="A5" s="117" t="s">
        <v>834</v>
      </c>
      <c r="B5" s="117" t="s">
        <v>54</v>
      </c>
      <c r="C5" s="117" t="s">
        <v>835</v>
      </c>
      <c r="D5" s="117" t="s">
        <v>836</v>
      </c>
      <c r="E5" s="117" t="s">
        <v>837</v>
      </c>
      <c r="F5" s="117" t="s">
        <v>838</v>
      </c>
    </row>
    <row r="6">
      <c r="A6" s="118" t="s">
        <v>839</v>
      </c>
      <c r="B6" s="118" t="s">
        <v>57</v>
      </c>
      <c r="C6" s="118" t="s">
        <v>835</v>
      </c>
      <c r="D6" s="118" t="s">
        <v>836</v>
      </c>
      <c r="E6" s="118" t="s">
        <v>840</v>
      </c>
      <c r="F6" s="118" t="s">
        <v>841</v>
      </c>
    </row>
    <row r="7">
      <c r="A7" s="117" t="s">
        <v>842</v>
      </c>
      <c r="B7" s="117" t="s">
        <v>57</v>
      </c>
      <c r="C7" s="117" t="s">
        <v>843</v>
      </c>
      <c r="D7" s="117" t="s">
        <v>844</v>
      </c>
      <c r="E7" s="117" t="s">
        <v>845</v>
      </c>
      <c r="F7" s="117" t="s">
        <v>846</v>
      </c>
    </row>
    <row r="8">
      <c r="A8" s="118" t="s">
        <v>847</v>
      </c>
      <c r="B8" s="118" t="s">
        <v>54</v>
      </c>
      <c r="C8" s="118" t="s">
        <v>843</v>
      </c>
      <c r="D8" s="118" t="s">
        <v>844</v>
      </c>
      <c r="E8" s="118" t="s">
        <v>848</v>
      </c>
      <c r="F8" s="118" t="s">
        <v>849</v>
      </c>
    </row>
    <row r="9">
      <c r="A9" s="118" t="s">
        <v>850</v>
      </c>
      <c r="B9" s="118" t="s">
        <v>57</v>
      </c>
      <c r="C9" s="118" t="s">
        <v>843</v>
      </c>
      <c r="D9" s="118" t="s">
        <v>844</v>
      </c>
      <c r="E9" s="118" t="s">
        <v>851</v>
      </c>
      <c r="F9" s="118" t="s">
        <v>852</v>
      </c>
    </row>
    <row r="10">
      <c r="A10" s="117" t="s">
        <v>853</v>
      </c>
      <c r="B10" s="117" t="s">
        <v>59</v>
      </c>
      <c r="C10" s="117" t="s">
        <v>854</v>
      </c>
      <c r="D10" s="117" t="s">
        <v>855</v>
      </c>
      <c r="E10" s="117" t="s">
        <v>845</v>
      </c>
      <c r="F10" s="117" t="s">
        <v>846</v>
      </c>
    </row>
    <row r="11">
      <c r="A11" s="118" t="s">
        <v>856</v>
      </c>
      <c r="B11" s="118" t="s">
        <v>54</v>
      </c>
      <c r="C11" s="118" t="s">
        <v>854</v>
      </c>
      <c r="D11" s="118" t="s">
        <v>855</v>
      </c>
      <c r="E11" s="118" t="s">
        <v>848</v>
      </c>
      <c r="F11" s="118" t="s">
        <v>849</v>
      </c>
    </row>
    <row r="12">
      <c r="A12" s="118" t="s">
        <v>857</v>
      </c>
      <c r="B12" s="118" t="s">
        <v>57</v>
      </c>
      <c r="C12" s="118" t="s">
        <v>854</v>
      </c>
      <c r="D12" s="118" t="s">
        <v>855</v>
      </c>
      <c r="E12" s="118" t="s">
        <v>851</v>
      </c>
      <c r="F12" s="118" t="s">
        <v>852</v>
      </c>
    </row>
    <row r="13">
      <c r="A13" s="117" t="s">
        <v>858</v>
      </c>
      <c r="B13" s="117" t="s">
        <v>59</v>
      </c>
      <c r="C13" s="117" t="s">
        <v>859</v>
      </c>
      <c r="D13" s="117" t="s">
        <v>860</v>
      </c>
      <c r="E13" s="117" t="s">
        <v>837</v>
      </c>
      <c r="F13" s="117" t="s">
        <v>838</v>
      </c>
    </row>
    <row r="14">
      <c r="A14" s="118" t="s">
        <v>861</v>
      </c>
      <c r="B14" s="118" t="s">
        <v>54</v>
      </c>
      <c r="C14" s="118" t="s">
        <v>859</v>
      </c>
      <c r="D14" s="118" t="s">
        <v>860</v>
      </c>
      <c r="E14" s="118" t="s">
        <v>840</v>
      </c>
      <c r="F14" s="118" t="s">
        <v>841</v>
      </c>
    </row>
    <row r="15">
      <c r="A15" s="117" t="s">
        <v>862</v>
      </c>
      <c r="B15" s="117" t="s">
        <v>57</v>
      </c>
      <c r="C15" s="117" t="s">
        <v>863</v>
      </c>
      <c r="D15" s="117" t="s">
        <v>864</v>
      </c>
      <c r="E15" s="117" t="s">
        <v>865</v>
      </c>
      <c r="F15" s="117" t="s">
        <v>846</v>
      </c>
    </row>
    <row r="16">
      <c r="A16" s="118" t="s">
        <v>866</v>
      </c>
      <c r="B16" s="118" t="s">
        <v>54</v>
      </c>
      <c r="C16" s="118" t="s">
        <v>863</v>
      </c>
      <c r="D16" s="118" t="s">
        <v>864</v>
      </c>
      <c r="E16" s="118" t="s">
        <v>867</v>
      </c>
      <c r="F16" s="118" t="s">
        <v>868</v>
      </c>
    </row>
    <row r="17">
      <c r="A17" s="118" t="s">
        <v>869</v>
      </c>
      <c r="B17" s="118" t="s">
        <v>57</v>
      </c>
      <c r="C17" s="118" t="s">
        <v>863</v>
      </c>
      <c r="D17" s="118" t="s">
        <v>864</v>
      </c>
      <c r="E17" s="118" t="s">
        <v>870</v>
      </c>
      <c r="F17" s="118" t="s">
        <v>849</v>
      </c>
    </row>
    <row r="18">
      <c r="A18" s="118" t="s">
        <v>871</v>
      </c>
      <c r="B18" s="118" t="s">
        <v>54</v>
      </c>
      <c r="C18" s="118" t="s">
        <v>863</v>
      </c>
      <c r="D18" s="118" t="s">
        <v>864</v>
      </c>
      <c r="E18" s="118" t="s">
        <v>872</v>
      </c>
      <c r="F18" s="118" t="s">
        <v>852</v>
      </c>
    </row>
    <row r="19">
      <c r="A19" s="117" t="s">
        <v>873</v>
      </c>
      <c r="B19" s="117" t="s">
        <v>57</v>
      </c>
      <c r="C19" s="117" t="s">
        <v>874</v>
      </c>
      <c r="D19" s="117" t="s">
        <v>875</v>
      </c>
      <c r="E19" s="117" t="s">
        <v>845</v>
      </c>
      <c r="F19" s="117" t="s">
        <v>846</v>
      </c>
    </row>
    <row r="20">
      <c r="A20" s="118" t="s">
        <v>876</v>
      </c>
      <c r="B20" s="118" t="s">
        <v>54</v>
      </c>
      <c r="C20" s="118" t="s">
        <v>874</v>
      </c>
      <c r="D20" s="118" t="s">
        <v>875</v>
      </c>
      <c r="E20" s="118" t="s">
        <v>848</v>
      </c>
      <c r="F20" s="118" t="s">
        <v>849</v>
      </c>
    </row>
    <row r="21" ht="15.75" customHeight="1">
      <c r="A21" s="118" t="s">
        <v>877</v>
      </c>
      <c r="B21" s="118" t="s">
        <v>57</v>
      </c>
      <c r="C21" s="118" t="s">
        <v>874</v>
      </c>
      <c r="D21" s="118" t="s">
        <v>875</v>
      </c>
      <c r="E21" s="118" t="s">
        <v>851</v>
      </c>
      <c r="F21" s="118" t="s">
        <v>852</v>
      </c>
    </row>
    <row r="22" ht="15.75" customHeight="1">
      <c r="A22" s="117" t="s">
        <v>878</v>
      </c>
      <c r="B22" s="117" t="s">
        <v>59</v>
      </c>
      <c r="C22" s="117" t="s">
        <v>879</v>
      </c>
      <c r="D22" s="117" t="s">
        <v>880</v>
      </c>
      <c r="E22" s="117" t="s">
        <v>845</v>
      </c>
      <c r="F22" s="117" t="s">
        <v>846</v>
      </c>
    </row>
    <row r="23" ht="15.75" customHeight="1">
      <c r="A23" s="118" t="s">
        <v>881</v>
      </c>
      <c r="B23" s="118" t="s">
        <v>54</v>
      </c>
      <c r="C23" s="118" t="s">
        <v>879</v>
      </c>
      <c r="D23" s="118" t="s">
        <v>880</v>
      </c>
      <c r="E23" s="118" t="s">
        <v>848</v>
      </c>
      <c r="F23" s="118" t="s">
        <v>849</v>
      </c>
    </row>
    <row r="24" ht="15.75" customHeight="1">
      <c r="A24" s="118" t="s">
        <v>882</v>
      </c>
      <c r="B24" s="118" t="s">
        <v>57</v>
      </c>
      <c r="C24" s="118" t="s">
        <v>879</v>
      </c>
      <c r="D24" s="118" t="s">
        <v>880</v>
      </c>
      <c r="E24" s="118" t="s">
        <v>851</v>
      </c>
      <c r="F24" s="118" t="s">
        <v>852</v>
      </c>
    </row>
    <row r="25" ht="15.75" customHeight="1">
      <c r="A25" s="117" t="s">
        <v>883</v>
      </c>
      <c r="B25" s="117" t="s">
        <v>54</v>
      </c>
      <c r="C25" s="117" t="s">
        <v>884</v>
      </c>
      <c r="D25" s="117" t="s">
        <v>885</v>
      </c>
      <c r="E25" s="117" t="s">
        <v>865</v>
      </c>
      <c r="F25" s="117" t="s">
        <v>846</v>
      </c>
    </row>
    <row r="26" ht="15.75" customHeight="1">
      <c r="A26" s="118" t="s">
        <v>886</v>
      </c>
      <c r="B26" s="118" t="s">
        <v>59</v>
      </c>
      <c r="C26" s="118" t="s">
        <v>884</v>
      </c>
      <c r="D26" s="118" t="s">
        <v>885</v>
      </c>
      <c r="E26" s="118" t="s">
        <v>867</v>
      </c>
      <c r="F26" s="118" t="s">
        <v>868</v>
      </c>
    </row>
    <row r="27" ht="15.75" customHeight="1">
      <c r="A27" s="118" t="s">
        <v>887</v>
      </c>
      <c r="B27" s="118" t="s">
        <v>54</v>
      </c>
      <c r="C27" s="118" t="s">
        <v>884</v>
      </c>
      <c r="D27" s="118" t="s">
        <v>885</v>
      </c>
      <c r="E27" s="118" t="s">
        <v>870</v>
      </c>
      <c r="F27" s="118" t="s">
        <v>849</v>
      </c>
    </row>
    <row r="28" ht="15.75" customHeight="1">
      <c r="A28" s="118" t="s">
        <v>888</v>
      </c>
      <c r="B28" s="118" t="s">
        <v>57</v>
      </c>
      <c r="C28" s="118" t="s">
        <v>884</v>
      </c>
      <c r="D28" s="118" t="s">
        <v>885</v>
      </c>
      <c r="E28" s="118" t="s">
        <v>872</v>
      </c>
      <c r="F28" s="118" t="s">
        <v>852</v>
      </c>
    </row>
    <row r="29" ht="15.75" customHeight="1">
      <c r="A29" s="117" t="s">
        <v>889</v>
      </c>
      <c r="B29" s="117" t="s">
        <v>54</v>
      </c>
      <c r="C29" s="117" t="s">
        <v>890</v>
      </c>
      <c r="D29" s="117" t="s">
        <v>891</v>
      </c>
      <c r="E29" s="117" t="s">
        <v>845</v>
      </c>
      <c r="F29" s="117" t="s">
        <v>846</v>
      </c>
    </row>
    <row r="30" ht="15.75" customHeight="1">
      <c r="A30" s="118" t="s">
        <v>892</v>
      </c>
      <c r="B30" s="118" t="s">
        <v>57</v>
      </c>
      <c r="C30" s="118" t="s">
        <v>890</v>
      </c>
      <c r="D30" s="118" t="s">
        <v>891</v>
      </c>
      <c r="E30" s="118" t="s">
        <v>848</v>
      </c>
      <c r="F30" s="118" t="s">
        <v>849</v>
      </c>
    </row>
    <row r="31" ht="15.75" customHeight="1">
      <c r="A31" s="118" t="s">
        <v>893</v>
      </c>
      <c r="B31" s="118" t="s">
        <v>54</v>
      </c>
      <c r="C31" s="118" t="s">
        <v>890</v>
      </c>
      <c r="D31" s="118" t="s">
        <v>891</v>
      </c>
      <c r="E31" s="118" t="s">
        <v>851</v>
      </c>
      <c r="F31" s="118" t="s">
        <v>852</v>
      </c>
    </row>
    <row r="32" ht="15.75" customHeight="1">
      <c r="A32" s="117" t="s">
        <v>894</v>
      </c>
      <c r="B32" s="117" t="s">
        <v>57</v>
      </c>
      <c r="C32" s="117" t="s">
        <v>895</v>
      </c>
      <c r="D32" s="117" t="s">
        <v>896</v>
      </c>
      <c r="E32" s="117" t="s">
        <v>837</v>
      </c>
      <c r="F32" s="117" t="s">
        <v>838</v>
      </c>
    </row>
    <row r="33" ht="15.75" customHeight="1">
      <c r="A33" s="118" t="s">
        <v>897</v>
      </c>
      <c r="B33" s="118" t="s">
        <v>54</v>
      </c>
      <c r="C33" s="118" t="s">
        <v>895</v>
      </c>
      <c r="D33" s="118" t="s">
        <v>896</v>
      </c>
      <c r="E33" s="118" t="s">
        <v>840</v>
      </c>
      <c r="F33" s="118" t="s">
        <v>841</v>
      </c>
    </row>
    <row r="34" ht="15.75" customHeight="1">
      <c r="A34" s="117" t="s">
        <v>898</v>
      </c>
      <c r="B34" s="117" t="s">
        <v>57</v>
      </c>
      <c r="C34" s="117" t="s">
        <v>899</v>
      </c>
      <c r="D34" s="117" t="s">
        <v>900</v>
      </c>
      <c r="E34" s="117" t="s">
        <v>845</v>
      </c>
      <c r="F34" s="117" t="s">
        <v>846</v>
      </c>
    </row>
    <row r="35" ht="15.75" customHeight="1">
      <c r="A35" s="118" t="s">
        <v>901</v>
      </c>
      <c r="B35" s="118" t="s">
        <v>54</v>
      </c>
      <c r="C35" s="118" t="s">
        <v>899</v>
      </c>
      <c r="D35" s="118" t="s">
        <v>900</v>
      </c>
      <c r="E35" s="118" t="s">
        <v>848</v>
      </c>
      <c r="F35" s="118" t="s">
        <v>849</v>
      </c>
    </row>
    <row r="36" ht="15.75" customHeight="1">
      <c r="A36" s="118" t="s">
        <v>902</v>
      </c>
      <c r="B36" s="118" t="s">
        <v>54</v>
      </c>
      <c r="C36" s="118" t="s">
        <v>899</v>
      </c>
      <c r="D36" s="118" t="s">
        <v>900</v>
      </c>
      <c r="E36" s="118" t="s">
        <v>851</v>
      </c>
      <c r="F36" s="118" t="s">
        <v>852</v>
      </c>
    </row>
    <row r="37" ht="15.75" customHeight="1">
      <c r="A37" s="117" t="s">
        <v>903</v>
      </c>
      <c r="B37" s="117" t="s">
        <v>57</v>
      </c>
      <c r="C37" s="117" t="s">
        <v>904</v>
      </c>
      <c r="D37" s="117" t="s">
        <v>905</v>
      </c>
      <c r="E37" s="117" t="s">
        <v>865</v>
      </c>
      <c r="F37" s="117" t="s">
        <v>846</v>
      </c>
    </row>
    <row r="38" ht="15.75" customHeight="1">
      <c r="A38" s="118" t="s">
        <v>906</v>
      </c>
      <c r="B38" s="118" t="s">
        <v>54</v>
      </c>
      <c r="C38" s="118" t="s">
        <v>904</v>
      </c>
      <c r="D38" s="118" t="s">
        <v>905</v>
      </c>
      <c r="E38" s="118" t="s">
        <v>867</v>
      </c>
      <c r="F38" s="118" t="s">
        <v>868</v>
      </c>
    </row>
    <row r="39" ht="15.75" customHeight="1">
      <c r="A39" s="118" t="s">
        <v>907</v>
      </c>
      <c r="B39" s="118" t="s">
        <v>57</v>
      </c>
      <c r="C39" s="118" t="s">
        <v>904</v>
      </c>
      <c r="D39" s="118" t="s">
        <v>905</v>
      </c>
      <c r="E39" s="118" t="s">
        <v>870</v>
      </c>
      <c r="F39" s="118" t="s">
        <v>849</v>
      </c>
    </row>
    <row r="40" ht="15.75" customHeight="1">
      <c r="A40" s="118" t="s">
        <v>908</v>
      </c>
      <c r="B40" s="118" t="s">
        <v>59</v>
      </c>
      <c r="C40" s="118" t="s">
        <v>904</v>
      </c>
      <c r="D40" s="118" t="s">
        <v>905</v>
      </c>
      <c r="E40" s="118" t="s">
        <v>872</v>
      </c>
      <c r="F40" s="118" t="s">
        <v>852</v>
      </c>
    </row>
    <row r="41" ht="15.75" customHeight="1">
      <c r="A41" s="117" t="s">
        <v>909</v>
      </c>
      <c r="B41" s="117" t="s">
        <v>54</v>
      </c>
      <c r="C41" s="117" t="s">
        <v>910</v>
      </c>
      <c r="D41" s="117" t="s">
        <v>911</v>
      </c>
      <c r="E41" s="117" t="s">
        <v>865</v>
      </c>
      <c r="F41" s="117" t="s">
        <v>846</v>
      </c>
    </row>
    <row r="42" ht="15.75" customHeight="1">
      <c r="A42" s="118" t="s">
        <v>912</v>
      </c>
      <c r="B42" s="118" t="s">
        <v>59</v>
      </c>
      <c r="C42" s="118" t="s">
        <v>910</v>
      </c>
      <c r="D42" s="118" t="s">
        <v>911</v>
      </c>
      <c r="E42" s="118" t="s">
        <v>867</v>
      </c>
      <c r="F42" s="118" t="s">
        <v>868</v>
      </c>
    </row>
    <row r="43" ht="15.75" customHeight="1">
      <c r="A43" s="118" t="s">
        <v>913</v>
      </c>
      <c r="B43" s="118" t="s">
        <v>54</v>
      </c>
      <c r="C43" s="118" t="s">
        <v>910</v>
      </c>
      <c r="D43" s="118" t="s">
        <v>911</v>
      </c>
      <c r="E43" s="118" t="s">
        <v>870</v>
      </c>
      <c r="F43" s="118" t="s">
        <v>849</v>
      </c>
    </row>
    <row r="44" ht="15.75" customHeight="1">
      <c r="A44" s="118" t="s">
        <v>914</v>
      </c>
      <c r="B44" s="118" t="s">
        <v>57</v>
      </c>
      <c r="C44" s="118" t="s">
        <v>910</v>
      </c>
      <c r="D44" s="118" t="s">
        <v>911</v>
      </c>
      <c r="E44" s="118" t="s">
        <v>872</v>
      </c>
      <c r="F44" s="118" t="s">
        <v>852</v>
      </c>
    </row>
    <row r="45" ht="15.75" customHeight="1">
      <c r="A45" s="117" t="s">
        <v>915</v>
      </c>
      <c r="B45" s="117" t="s">
        <v>54</v>
      </c>
      <c r="C45" s="117" t="s">
        <v>916</v>
      </c>
      <c r="D45" s="117" t="s">
        <v>917</v>
      </c>
      <c r="E45" s="117" t="s">
        <v>845</v>
      </c>
      <c r="F45" s="117" t="s">
        <v>846</v>
      </c>
    </row>
    <row r="46" ht="15.75" customHeight="1">
      <c r="A46" s="118" t="s">
        <v>918</v>
      </c>
      <c r="B46" s="118" t="s">
        <v>57</v>
      </c>
      <c r="C46" s="118" t="s">
        <v>916</v>
      </c>
      <c r="D46" s="118" t="s">
        <v>917</v>
      </c>
      <c r="E46" s="118" t="s">
        <v>848</v>
      </c>
      <c r="F46" s="118" t="s">
        <v>849</v>
      </c>
    </row>
    <row r="47" ht="15.75" customHeight="1">
      <c r="A47" s="118" t="s">
        <v>919</v>
      </c>
      <c r="B47" s="118" t="s">
        <v>59</v>
      </c>
      <c r="C47" s="118" t="s">
        <v>916</v>
      </c>
      <c r="D47" s="118" t="s">
        <v>917</v>
      </c>
      <c r="E47" s="118" t="s">
        <v>851</v>
      </c>
      <c r="F47" s="118" t="s">
        <v>852</v>
      </c>
    </row>
    <row r="48" ht="15.75" customHeight="1">
      <c r="A48" s="117" t="s">
        <v>920</v>
      </c>
      <c r="B48" s="117" t="s">
        <v>57</v>
      </c>
      <c r="C48" s="117" t="s">
        <v>921</v>
      </c>
      <c r="D48" s="117" t="s">
        <v>922</v>
      </c>
      <c r="E48" s="117" t="s">
        <v>845</v>
      </c>
      <c r="F48" s="117" t="s">
        <v>846</v>
      </c>
    </row>
    <row r="49" ht="15.75" customHeight="1">
      <c r="A49" s="118" t="s">
        <v>923</v>
      </c>
      <c r="B49" s="118" t="s">
        <v>59</v>
      </c>
      <c r="C49" s="118" t="s">
        <v>921</v>
      </c>
      <c r="D49" s="118" t="s">
        <v>922</v>
      </c>
      <c r="E49" s="118" t="s">
        <v>848</v>
      </c>
      <c r="F49" s="118" t="s">
        <v>849</v>
      </c>
    </row>
    <row r="50" ht="15.75" customHeight="1">
      <c r="A50" s="118" t="s">
        <v>924</v>
      </c>
      <c r="B50" s="118" t="s">
        <v>54</v>
      </c>
      <c r="C50" s="118" t="s">
        <v>921</v>
      </c>
      <c r="D50" s="118" t="s">
        <v>922</v>
      </c>
      <c r="E50" s="118" t="s">
        <v>851</v>
      </c>
      <c r="F50" s="118" t="s">
        <v>852</v>
      </c>
    </row>
    <row r="51" ht="15.75" customHeight="1">
      <c r="A51" s="117" t="s">
        <v>925</v>
      </c>
      <c r="B51" s="117" t="s">
        <v>57</v>
      </c>
      <c r="C51" s="117" t="s">
        <v>926</v>
      </c>
      <c r="D51" s="117" t="s">
        <v>927</v>
      </c>
      <c r="E51" s="117" t="s">
        <v>845</v>
      </c>
      <c r="F51" s="117" t="s">
        <v>846</v>
      </c>
    </row>
    <row r="52" ht="15.75" customHeight="1">
      <c r="A52" s="118" t="s">
        <v>928</v>
      </c>
      <c r="B52" s="118" t="s">
        <v>54</v>
      </c>
      <c r="C52" s="118" t="s">
        <v>926</v>
      </c>
      <c r="D52" s="118" t="s">
        <v>927</v>
      </c>
      <c r="E52" s="118" t="s">
        <v>848</v>
      </c>
      <c r="F52" s="118" t="s">
        <v>849</v>
      </c>
    </row>
    <row r="53" ht="15.75" customHeight="1">
      <c r="A53" s="118" t="s">
        <v>929</v>
      </c>
      <c r="B53" s="118" t="s">
        <v>59</v>
      </c>
      <c r="C53" s="118" t="s">
        <v>926</v>
      </c>
      <c r="D53" s="118" t="s">
        <v>927</v>
      </c>
      <c r="E53" s="118" t="s">
        <v>851</v>
      </c>
      <c r="F53" s="118" t="s">
        <v>852</v>
      </c>
    </row>
    <row r="54" ht="15.75" customHeight="1">
      <c r="A54" s="117" t="s">
        <v>930</v>
      </c>
      <c r="B54" s="117" t="s">
        <v>54</v>
      </c>
      <c r="C54" s="117" t="s">
        <v>931</v>
      </c>
      <c r="D54" s="117" t="s">
        <v>932</v>
      </c>
      <c r="E54" s="117" t="s">
        <v>845</v>
      </c>
      <c r="F54" s="117" t="s">
        <v>846</v>
      </c>
    </row>
    <row r="55" ht="15.75" customHeight="1">
      <c r="A55" s="118" t="s">
        <v>933</v>
      </c>
      <c r="B55" s="118" t="s">
        <v>57</v>
      </c>
      <c r="C55" s="118" t="s">
        <v>931</v>
      </c>
      <c r="D55" s="118" t="s">
        <v>932</v>
      </c>
      <c r="E55" s="118" t="s">
        <v>848</v>
      </c>
      <c r="F55" s="118" t="s">
        <v>849</v>
      </c>
    </row>
    <row r="56" ht="15.75" customHeight="1">
      <c r="A56" s="118" t="s">
        <v>934</v>
      </c>
      <c r="B56" s="118" t="s">
        <v>54</v>
      </c>
      <c r="C56" s="118" t="s">
        <v>931</v>
      </c>
      <c r="D56" s="118" t="s">
        <v>932</v>
      </c>
      <c r="E56" s="118" t="s">
        <v>851</v>
      </c>
      <c r="F56" s="118" t="s">
        <v>852</v>
      </c>
    </row>
    <row r="57" ht="15.75" customHeight="1">
      <c r="A57" s="117" t="s">
        <v>935</v>
      </c>
      <c r="B57" s="117" t="s">
        <v>57</v>
      </c>
      <c r="C57" s="117" t="s">
        <v>936</v>
      </c>
      <c r="D57" s="117" t="s">
        <v>937</v>
      </c>
      <c r="E57" s="117" t="s">
        <v>865</v>
      </c>
      <c r="F57" s="117" t="s">
        <v>846</v>
      </c>
    </row>
    <row r="58" ht="15.75" customHeight="1">
      <c r="A58" s="118" t="s">
        <v>938</v>
      </c>
      <c r="B58" s="118" t="s">
        <v>54</v>
      </c>
      <c r="C58" s="118" t="s">
        <v>936</v>
      </c>
      <c r="D58" s="118" t="s">
        <v>937</v>
      </c>
      <c r="E58" s="118" t="s">
        <v>867</v>
      </c>
      <c r="F58" s="118" t="s">
        <v>868</v>
      </c>
    </row>
    <row r="59" ht="15.75" customHeight="1">
      <c r="A59" s="118" t="s">
        <v>939</v>
      </c>
      <c r="B59" s="118" t="s">
        <v>57</v>
      </c>
      <c r="C59" s="118" t="s">
        <v>936</v>
      </c>
      <c r="D59" s="118" t="s">
        <v>937</v>
      </c>
      <c r="E59" s="118" t="s">
        <v>870</v>
      </c>
      <c r="F59" s="118" t="s">
        <v>849</v>
      </c>
    </row>
    <row r="60" ht="15.75" customHeight="1">
      <c r="A60" s="118" t="s">
        <v>940</v>
      </c>
      <c r="B60" s="118" t="s">
        <v>59</v>
      </c>
      <c r="C60" s="118" t="s">
        <v>936</v>
      </c>
      <c r="D60" s="118" t="s">
        <v>937</v>
      </c>
      <c r="E60" s="118" t="s">
        <v>872</v>
      </c>
      <c r="F60" s="118" t="s">
        <v>852</v>
      </c>
    </row>
    <row r="61" ht="15.75" customHeight="1">
      <c r="A61" s="117" t="s">
        <v>941</v>
      </c>
      <c r="B61" s="117" t="s">
        <v>54</v>
      </c>
      <c r="C61" s="117" t="s">
        <v>942</v>
      </c>
      <c r="D61" s="117" t="s">
        <v>943</v>
      </c>
      <c r="E61" s="117" t="s">
        <v>845</v>
      </c>
      <c r="F61" s="117" t="s">
        <v>846</v>
      </c>
    </row>
    <row r="62" ht="15.75" customHeight="1">
      <c r="A62" s="118" t="s">
        <v>944</v>
      </c>
      <c r="B62" s="118" t="s">
        <v>57</v>
      </c>
      <c r="C62" s="118" t="s">
        <v>942</v>
      </c>
      <c r="D62" s="118" t="s">
        <v>943</v>
      </c>
      <c r="E62" s="118" t="s">
        <v>848</v>
      </c>
      <c r="F62" s="118" t="s">
        <v>849</v>
      </c>
    </row>
    <row r="63" ht="15.75" customHeight="1">
      <c r="A63" s="118" t="s">
        <v>945</v>
      </c>
      <c r="B63" s="118" t="s">
        <v>54</v>
      </c>
      <c r="C63" s="118" t="s">
        <v>942</v>
      </c>
      <c r="D63" s="118" t="s">
        <v>943</v>
      </c>
      <c r="E63" s="118" t="s">
        <v>851</v>
      </c>
      <c r="F63" s="118" t="s">
        <v>852</v>
      </c>
    </row>
    <row r="64" ht="15.75" customHeight="1">
      <c r="A64" s="117" t="s">
        <v>946</v>
      </c>
      <c r="B64" s="117" t="s">
        <v>57</v>
      </c>
      <c r="C64" s="117" t="s">
        <v>947</v>
      </c>
      <c r="D64" s="117" t="s">
        <v>948</v>
      </c>
      <c r="E64" s="117" t="s">
        <v>837</v>
      </c>
      <c r="F64" s="117" t="s">
        <v>838</v>
      </c>
    </row>
    <row r="65" ht="15.75" customHeight="1">
      <c r="A65" s="118" t="s">
        <v>949</v>
      </c>
      <c r="B65" s="118" t="s">
        <v>59</v>
      </c>
      <c r="C65" s="118" t="s">
        <v>947</v>
      </c>
      <c r="D65" s="118" t="s">
        <v>948</v>
      </c>
      <c r="E65" s="118" t="s">
        <v>840</v>
      </c>
      <c r="F65" s="118" t="s">
        <v>841</v>
      </c>
    </row>
    <row r="66" ht="15.75" customHeight="1"/>
    <row r="67" ht="15.75" customHeight="1">
      <c r="A67" s="119" t="s">
        <v>950</v>
      </c>
    </row>
    <row r="68" ht="15.75" customHeight="1">
      <c r="A68" s="115" t="s">
        <v>951</v>
      </c>
    </row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2:F2"/>
  </mergeCell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36.86"/>
  </cols>
  <sheetData>
    <row r="1" ht="15.0" customHeight="1">
      <c r="A1" s="1" t="s">
        <v>952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ht="15.0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ht="26.25" customHeight="1">
      <c r="A3" s="9" t="s">
        <v>21</v>
      </c>
      <c r="B3" s="9" t="s">
        <v>953</v>
      </c>
      <c r="C3" s="9" t="s">
        <v>954</v>
      </c>
      <c r="D3" s="9" t="s">
        <v>955</v>
      </c>
      <c r="E3" s="9" t="s">
        <v>53</v>
      </c>
      <c r="F3" s="9" t="s">
        <v>61</v>
      </c>
      <c r="G3" s="9" t="s">
        <v>956</v>
      </c>
      <c r="H3" s="3" t="s">
        <v>957</v>
      </c>
      <c r="I3" s="3" t="s">
        <v>958</v>
      </c>
      <c r="J3" s="3" t="s">
        <v>959</v>
      </c>
      <c r="K3" s="3" t="s">
        <v>960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ht="26.25" customHeight="1">
      <c r="A4" s="120" t="s">
        <v>73</v>
      </c>
      <c r="B4" s="25" t="s">
        <v>961</v>
      </c>
      <c r="C4" s="15" t="s">
        <v>836</v>
      </c>
      <c r="D4" s="121" t="s">
        <v>962</v>
      </c>
      <c r="E4" s="122" t="str">
        <f>HYPERLINK("https://drive.google.com/file/d/19C4G-zkToJtMA8ZOmQHz1Q28gP7BWxM-UXvyzXs36zI/view","Agenda ↗")</f>
        <v>Agenda ↗</v>
      </c>
      <c r="F4" s="122" t="str">
        <f>HYPERLINK("https://drive.google.com/open?id=14_VhM5bUM9ZZfgs2T0zOnTpr9d-mvbXZzy8m9dSMlys","VT ↗")</f>
        <v>VT ↗</v>
      </c>
      <c r="G4" s="122" t="str">
        <f>HYPERLINK("https://drive.google.com/drive/folders/1Dl_UEI3IaVyiebXUyEZmHNpWExA5H9uT","Cycle folder ↗")</f>
        <v>Cycle folder ↗</v>
      </c>
      <c r="H4" s="123" t="str">
        <f>HYPERLINK("https://drive.google.com/open?id=1JkLPZ10Oj2adeYNlBjexOWYxw99CHc2qlvaXMZR-vUs","Activity ↗")</f>
        <v>Activity ↗</v>
      </c>
      <c r="I4" s="124">
        <v>46265.0</v>
      </c>
      <c r="J4" s="125" t="s">
        <v>963</v>
      </c>
      <c r="K4" s="125" t="s">
        <v>964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ht="26.25" customHeight="1">
      <c r="A5" s="120" t="s">
        <v>136</v>
      </c>
      <c r="B5" s="25" t="s">
        <v>969</v>
      </c>
      <c r="C5" s="15" t="s">
        <v>970</v>
      </c>
      <c r="D5" s="121" t="s">
        <v>972</v>
      </c>
      <c r="E5" s="122" t="str">
        <f t="shared" ref="E5:E6" si="1">HYPERLINK("https://drive.google.com/file/d/1WHFEhkitoEoy6rgFFJTFzYXgSkvqHu1gHmbIOuK0tCE/view","Agenda ↗")</f>
        <v>Agenda ↗</v>
      </c>
      <c r="F5" s="122" t="str">
        <f t="shared" ref="F5:F6" si="2">HYPERLINK("https://drive.google.com/open?id=1oT9xyGf0ga0yoLlq1ot1ZoZnU6S5Nku7LgjKGWuuUns","VT ↗")</f>
        <v>VT ↗</v>
      </c>
      <c r="G5" s="122" t="str">
        <f t="shared" ref="G5:G6" si="3">HYPERLINK("https://drive.google.com/drive/folders/1D3n02wUGdTlje3GsH52JYRRbNN_KRCYv","Cycle folder ↗")</f>
        <v>Cycle folder ↗</v>
      </c>
      <c r="H5" s="123" t="str">
        <f>HYPERLINK("https://drive.google.com/open?id=1EPohWKBAssCk7ByKRlAamTt1zsao_KNZTD1WiRQck9E","Activity ↗")</f>
        <v>Activity ↗</v>
      </c>
      <c r="I5" s="124">
        <v>46272.0</v>
      </c>
      <c r="J5" s="125" t="s">
        <v>974</v>
      </c>
      <c r="K5" s="125" t="s">
        <v>976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ht="26.25" customHeight="1">
      <c r="A6" s="120" t="s">
        <v>18</v>
      </c>
      <c r="B6" s="25" t="s">
        <v>978</v>
      </c>
      <c r="C6" s="15" t="s">
        <v>979</v>
      </c>
      <c r="D6" s="121" t="s">
        <v>980</v>
      </c>
      <c r="E6" s="122" t="str">
        <f t="shared" si="1"/>
        <v>Agenda ↗</v>
      </c>
      <c r="F6" s="122" t="str">
        <f t="shared" si="2"/>
        <v>VT ↗</v>
      </c>
      <c r="G6" s="122" t="str">
        <f t="shared" si="3"/>
        <v>Cycle folder ↗</v>
      </c>
      <c r="H6" s="127" t="s">
        <v>31</v>
      </c>
      <c r="I6" s="124">
        <v>46279.0</v>
      </c>
      <c r="J6" s="125" t="s">
        <v>974</v>
      </c>
      <c r="K6" s="125" t="s">
        <v>976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ht="26.25" customHeight="1">
      <c r="A7" s="120" t="s">
        <v>55</v>
      </c>
      <c r="B7" s="25" t="s">
        <v>983</v>
      </c>
      <c r="C7" s="15" t="s">
        <v>984</v>
      </c>
      <c r="D7" s="121" t="s">
        <v>985</v>
      </c>
      <c r="E7" s="122" t="str">
        <f t="shared" ref="E7:E8" si="4">HYPERLINK("https://drive.google.com/file/d/1VUehjZ_oRU3puLU7bz_6ARtT9yeSfI3IX0_UZzRm0mg/view","Agenda ↗")</f>
        <v>Agenda ↗</v>
      </c>
      <c r="F7" s="122" t="str">
        <f t="shared" ref="F7:F8" si="5">HYPERLINK("https://drive.google.com/open?id=13RT17nQTZhNtQCiOu-cpeBeXrCDc71Zb9lKMc7_Gzjs","VT ↗")</f>
        <v>VT ↗</v>
      </c>
      <c r="G7" s="122" t="str">
        <f t="shared" ref="G7:G8" si="6">HYPERLINK("https://drive.google.com/drive/folders/1CZGfr19RTWJlHZBvydbMpc3twyDwxAq3","Cycle folder ↗")</f>
        <v>Cycle folder ↗</v>
      </c>
      <c r="H7" s="127" t="s">
        <v>31</v>
      </c>
      <c r="I7" s="124">
        <v>46286.0</v>
      </c>
      <c r="J7" s="125" t="s">
        <v>989</v>
      </c>
      <c r="K7" s="125" t="s">
        <v>991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ht="26.25" customHeight="1">
      <c r="A8" s="120" t="s">
        <v>248</v>
      </c>
      <c r="B8" s="25" t="s">
        <v>993</v>
      </c>
      <c r="C8" s="15" t="s">
        <v>994</v>
      </c>
      <c r="D8" s="121" t="s">
        <v>996</v>
      </c>
      <c r="E8" s="122" t="str">
        <f t="shared" si="4"/>
        <v>Agenda ↗</v>
      </c>
      <c r="F8" s="122" t="str">
        <f t="shared" si="5"/>
        <v>VT ↗</v>
      </c>
      <c r="G8" s="122" t="str">
        <f t="shared" si="6"/>
        <v>Cycle folder ↗</v>
      </c>
      <c r="H8" s="127" t="s">
        <v>31</v>
      </c>
      <c r="I8" s="124">
        <v>46293.0</v>
      </c>
      <c r="J8" s="125" t="s">
        <v>989</v>
      </c>
      <c r="K8" s="125" t="s">
        <v>991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ht="26.25" customHeight="1">
      <c r="A9" s="120" t="s">
        <v>69</v>
      </c>
      <c r="B9" s="25" t="s">
        <v>999</v>
      </c>
      <c r="C9" s="15" t="s">
        <v>860</v>
      </c>
      <c r="D9" s="121" t="s">
        <v>1000</v>
      </c>
      <c r="E9" s="122" t="str">
        <f>HYPERLINK("https://drive.google.com/file/d/1kv7vHyeXAx4M35t21H5sZqMFhfrlWrSsllZ7IMjlG20/view","Agenda ↗")</f>
        <v>Agenda ↗</v>
      </c>
      <c r="F9" s="122" t="str">
        <f>HYPERLINK("https://drive.google.com/open?id=1dRdAXmX9u2L-0qKLeW-o9OwoMaaJsik74C9nhysu_GY","VT ↗")</f>
        <v>VT ↗</v>
      </c>
      <c r="G9" s="122" t="str">
        <f>HYPERLINK("https://drive.google.com/drive/folders/1_7LjuC8A4GmfR9bNk_4h8Fcvgc1uONsR","Cycle folder ↗")</f>
        <v>Cycle folder ↗</v>
      </c>
      <c r="H9" s="127" t="s">
        <v>31</v>
      </c>
      <c r="I9" s="124">
        <v>46300.0</v>
      </c>
      <c r="J9" s="125" t="s">
        <v>1003</v>
      </c>
      <c r="K9" s="125" t="s">
        <v>1006</v>
      </c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ht="26.25" customHeight="1">
      <c r="A10" s="120" t="s">
        <v>303</v>
      </c>
      <c r="B10" s="25" t="s">
        <v>1008</v>
      </c>
      <c r="C10" s="15" t="s">
        <v>1009</v>
      </c>
      <c r="D10" s="121" t="s">
        <v>1011</v>
      </c>
      <c r="E10" s="122" t="str">
        <f t="shared" ref="E10:E11" si="7">HYPERLINK("https://drive.google.com/file/d/1a5x0ws-fkIj4tXwPXk69vqSaQXz0lspZZ7ij3huMJfE/view","Agenda ↗")</f>
        <v>Agenda ↗</v>
      </c>
      <c r="F10" s="122" t="str">
        <f t="shared" ref="F10:F11" si="8">HYPERLINK("https://drive.google.com/open?id=1ZYpT5wS9zPXkcVCwfp6oC6M8WE1yCzVtjEqpw7OlnF8","VT ↗")</f>
        <v>VT ↗</v>
      </c>
      <c r="G10" s="122" t="str">
        <f t="shared" ref="G10:G11" si="9">HYPERLINK("https://drive.google.com/drive/folders/11BNokJq2E4wFOfR2-uTrHxNZ8iO6C3pb","Cycle folder ↗")</f>
        <v>Cycle folder ↗</v>
      </c>
      <c r="H10" s="128" t="str">
        <f t="shared" ref="H10:H11" si="10">HYPERLINK("https://drive.google.com/open?id=1wXLSRSOwW8J1j2rov62vpsKpnIYsWZh_fzlOHngUTEg","Activity ↗")</f>
        <v>Activity ↗</v>
      </c>
      <c r="I10" s="124">
        <v>46307.0</v>
      </c>
      <c r="J10" s="125" t="s">
        <v>1014</v>
      </c>
      <c r="K10" s="125" t="s">
        <v>1016</v>
      </c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ht="26.25" customHeight="1">
      <c r="A11" s="120" t="s">
        <v>91</v>
      </c>
      <c r="B11" s="25" t="s">
        <v>1020</v>
      </c>
      <c r="C11" s="15" t="s">
        <v>1021</v>
      </c>
      <c r="D11" s="121" t="s">
        <v>1022</v>
      </c>
      <c r="E11" s="122" t="str">
        <f t="shared" si="7"/>
        <v>Agenda ↗</v>
      </c>
      <c r="F11" s="122" t="str">
        <f t="shared" si="8"/>
        <v>VT ↗</v>
      </c>
      <c r="G11" s="122" t="str">
        <f t="shared" si="9"/>
        <v>Cycle folder ↗</v>
      </c>
      <c r="H11" s="123" t="str">
        <f t="shared" si="10"/>
        <v>Activity ↗</v>
      </c>
      <c r="I11" s="124">
        <v>46314.0</v>
      </c>
      <c r="J11" s="125" t="s">
        <v>1014</v>
      </c>
      <c r="K11" s="125" t="s">
        <v>1016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ht="26.25" customHeight="1">
      <c r="A12" s="120" t="s">
        <v>355</v>
      </c>
      <c r="B12" s="25" t="s">
        <v>1026</v>
      </c>
      <c r="C12" s="15" t="s">
        <v>1027</v>
      </c>
      <c r="D12" s="121" t="s">
        <v>1029</v>
      </c>
      <c r="E12" s="122" t="str">
        <f t="shared" ref="E12:E13" si="11">HYPERLINK("https://drive.google.com/file/d/1sjLRPi3CFP4sSJbhCTB89jp_DEwCWN4chE_s38WOsa0/view","Agenda ↗")</f>
        <v>Agenda ↗</v>
      </c>
      <c r="F12" s="122" t="str">
        <f>HYPERLINK("https://drive.google.com/open?id=10H4lgRBHqvSIOA_xWwXzxFA-un-UPfImGYr0IzZqEqY","VT ↗")</f>
        <v>VT ↗</v>
      </c>
      <c r="G12" s="122" t="str">
        <f t="shared" ref="G12:G13" si="12">HYPERLINK("https://drive.google.com/drive/folders/1BnHejNBE_rJiRkDlK-VrlYY78sTLEhBe","Cycle folder ↗")</f>
        <v>Cycle folder ↗</v>
      </c>
      <c r="H12" s="127" t="s">
        <v>31</v>
      </c>
      <c r="I12" s="124">
        <v>46321.0</v>
      </c>
      <c r="J12" s="125" t="s">
        <v>1032</v>
      </c>
      <c r="K12" s="125" t="s">
        <v>1034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ht="26.25" customHeight="1">
      <c r="A13" s="120" t="s">
        <v>386</v>
      </c>
      <c r="B13" s="25" t="s">
        <v>1036</v>
      </c>
      <c r="C13" s="15" t="s">
        <v>1038</v>
      </c>
      <c r="D13" s="121" t="s">
        <v>1039</v>
      </c>
      <c r="E13" s="122" t="str">
        <f t="shared" si="11"/>
        <v>Agenda ↗</v>
      </c>
      <c r="F13" s="122" t="str">
        <f>HYPERLINK("https://drive.google.com/open?id=1EKjFh0ZgeOjEwatzXTbmNXcIXvx6UzP53KkTttmj_Yw","VT ↗")</f>
        <v>VT ↗</v>
      </c>
      <c r="G13" s="122" t="str">
        <f t="shared" si="12"/>
        <v>Cycle folder ↗</v>
      </c>
      <c r="H13" s="123" t="str">
        <f>HYPERLINK("https://drive.google.com/open?id=1zh2krtTLVvESZ2SKyxb89oiVA_R1Wr0vYdzLcWpGm3k","Activity ↗")</f>
        <v>Activity ↗</v>
      </c>
      <c r="I13" s="124">
        <v>46328.0</v>
      </c>
      <c r="J13" s="125" t="s">
        <v>1032</v>
      </c>
      <c r="K13" s="125" t="s">
        <v>1043</v>
      </c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ht="26.25" customHeight="1">
      <c r="A14" s="120" t="s">
        <v>117</v>
      </c>
      <c r="B14" s="25" t="s">
        <v>1045</v>
      </c>
      <c r="C14" s="15" t="s">
        <v>1047</v>
      </c>
      <c r="D14" s="121" t="s">
        <v>1048</v>
      </c>
      <c r="E14" s="122" t="str">
        <f t="shared" ref="E14:E15" si="13">HYPERLINK("https://drive.google.com/file/d/17AH3RIWSm3EzoYOvMpOn8MIOIcYIVcKq0rr5zWmm7uM/view","Agenda ↗")</f>
        <v>Agenda ↗</v>
      </c>
      <c r="F14" s="122" t="str">
        <f>HYPERLINK("https://drive.google.com/open?id=1nl_G0kH65BVa0Jnni0NKn32Y6EjgKXQkYaJA9vpugQM","VT ↗")</f>
        <v>VT ↗</v>
      </c>
      <c r="G14" s="122" t="str">
        <f t="shared" ref="G14:G15" si="14">HYPERLINK("https://drive.google.com/drive/folders/18rj5qQxduYLHo1zZ5VLm_JrCjS4Oj2UO","Cycle folder ↗")</f>
        <v>Cycle folder ↗</v>
      </c>
      <c r="H14" s="123" t="str">
        <f>HYPERLINK("https://drive.google.com/open?id=1cPjJwzpxRkzVYVefdCwra0tNrImF8XXKEKxQB_RF_ZI","Activity ↗")</f>
        <v>Activity ↗</v>
      </c>
      <c r="I14" s="124">
        <v>46335.0</v>
      </c>
      <c r="J14" s="125" t="s">
        <v>1051</v>
      </c>
      <c r="K14" s="125" t="s">
        <v>1054</v>
      </c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ht="26.25" customHeight="1">
      <c r="A15" s="120" t="s">
        <v>127</v>
      </c>
      <c r="B15" s="25" t="s">
        <v>1057</v>
      </c>
      <c r="C15" s="15" t="s">
        <v>1058</v>
      </c>
      <c r="D15" s="121" t="s">
        <v>1059</v>
      </c>
      <c r="E15" s="122" t="str">
        <f t="shared" si="13"/>
        <v>Agenda ↗</v>
      </c>
      <c r="F15" s="122" t="str">
        <f>HYPERLINK("https://drive.google.com/open?id=1JhfjicmaKUwJpG6_yzfPZkQ63XvgJ92Nhkm0eZV9dpU","VT ↗")</f>
        <v>VT ↗</v>
      </c>
      <c r="G15" s="122" t="str">
        <f t="shared" si="14"/>
        <v>Cycle folder ↗</v>
      </c>
      <c r="H15" s="123" t="str">
        <f>HYPERLINK("https://drive.google.com/open?id=1Ljc1c-ndBfv_UvjrMUwZxs6Ayb7Ps8j-xWeL7whPFek","Activity ↗")</f>
        <v>Activity ↗</v>
      </c>
      <c r="I15" s="124">
        <v>46342.0</v>
      </c>
      <c r="J15" s="125" t="s">
        <v>1051</v>
      </c>
      <c r="K15" s="125" t="s">
        <v>1063</v>
      </c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ht="26.25" customHeight="1">
      <c r="A16" s="120" t="s">
        <v>138</v>
      </c>
      <c r="B16" s="25" t="s">
        <v>639</v>
      </c>
      <c r="C16" s="15" t="s">
        <v>1069</v>
      </c>
      <c r="D16" s="121" t="s">
        <v>1070</v>
      </c>
      <c r="E16" s="122" t="str">
        <f t="shared" ref="E16:E17" si="15">HYPERLINK("https://drive.google.com/file/d/1ZDer-NNBybpTys9yv4pyWcBJvUkjX5aHInwNBLlk4_Q/view","Agenda ↗")</f>
        <v>Agenda ↗</v>
      </c>
      <c r="F16" s="122" t="str">
        <f>HYPERLINK("https://drive.google.com/open?id=1t2u0qW5gt80928aNaHM-wRVRMUVHGEvOz8Zd0-1XXyg","VT ↗")</f>
        <v>VT ↗</v>
      </c>
      <c r="G16" s="122" t="str">
        <f t="shared" ref="G16:G17" si="16">HYPERLINK("https://drive.google.com/drive/folders/1ozCBpU95YpTaRSw14x4-u4Nlmci2ZTAq","Cycle folder ↗")</f>
        <v>Cycle folder ↗</v>
      </c>
      <c r="H16" s="128" t="str">
        <f>HYPERLINK("https://drive.google.com/open?id=1umkUf6d7O61dhzc-H80j20ZJlWp8A_5e7pIqNAGFF0M","Activity ↗")</f>
        <v>Activity ↗</v>
      </c>
      <c r="I16" s="124">
        <v>46356.0</v>
      </c>
      <c r="J16" s="125" t="s">
        <v>1077</v>
      </c>
      <c r="K16" s="125" t="s">
        <v>1080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ht="26.25" customHeight="1">
      <c r="A17" s="120" t="s">
        <v>151</v>
      </c>
      <c r="B17" s="25" t="s">
        <v>1086</v>
      </c>
      <c r="C17" s="15" t="s">
        <v>1087</v>
      </c>
      <c r="D17" s="121" t="s">
        <v>1088</v>
      </c>
      <c r="E17" s="122" t="str">
        <f t="shared" si="15"/>
        <v>Agenda ↗</v>
      </c>
      <c r="F17" s="122" t="str">
        <f>HYPERLINK("https://drive.google.com/open?id=1fAWSMozNnZVJFGxTpSQKwBjU4gLfeWVzrazH-AiaRhU","VT ↗")</f>
        <v>VT ↗</v>
      </c>
      <c r="G17" s="122" t="str">
        <f t="shared" si="16"/>
        <v>Cycle folder ↗</v>
      </c>
      <c r="H17" s="123" t="str">
        <f>HYPERLINK("https://drive.google.com/open?id=1yMU9TraFkczXCz7Oe8rZd-vu-BbPJgk3STuhR9TAsG0","Activity ↗")</f>
        <v>Activity ↗</v>
      </c>
      <c r="I17" s="124">
        <v>46363.0</v>
      </c>
      <c r="J17" s="125" t="s">
        <v>1077</v>
      </c>
      <c r="K17" s="125" t="s">
        <v>1094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ht="26.25" customHeight="1">
      <c r="A18" s="120" t="s">
        <v>167</v>
      </c>
      <c r="B18" s="25" t="s">
        <v>1100</v>
      </c>
      <c r="C18" s="15" t="s">
        <v>1101</v>
      </c>
      <c r="D18" s="121" t="s">
        <v>1102</v>
      </c>
      <c r="E18" s="122" t="str">
        <f t="shared" ref="E18:E19" si="17">HYPERLINK("https://drive.google.com/file/d/1B6J_CZsSg_kGxWPBv0ackRr_pRtuM8ZWZEAn01LgcGo/view","Agenda ↗")</f>
        <v>Agenda ↗</v>
      </c>
      <c r="F18" s="122" t="str">
        <f>HYPERLINK("https://drive.google.com/open?id=13U2xS0vaVMnfyzztt2tRYZAJs7jtuOIlPRDT0qUkhMk","VT ↗")</f>
        <v>VT ↗</v>
      </c>
      <c r="G18" s="122" t="str">
        <f t="shared" ref="G18:G19" si="18">HYPERLINK("https://drive.google.com/drive/folders/1BsqqCAa467Hs8Rkaenoa1z7kZT84_1Mo","Cycle folder ↗")</f>
        <v>Cycle folder ↗</v>
      </c>
      <c r="H18" s="123" t="str">
        <f>HYPERLINK("https://drive.google.com/open?id=1j_8dNqg0LQiCos8keTPxSLn425PGWe8xf3vXMUjbl-s","Activity ↗")</f>
        <v>Activity ↗</v>
      </c>
      <c r="I18" s="124">
        <v>46370.0</v>
      </c>
      <c r="J18" s="125" t="s">
        <v>1110</v>
      </c>
      <c r="K18" s="125" t="s">
        <v>1111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ht="26.25" customHeight="1">
      <c r="A19" s="120" t="s">
        <v>184</v>
      </c>
      <c r="B19" s="25" t="s">
        <v>1116</v>
      </c>
      <c r="C19" s="15" t="s">
        <v>1118</v>
      </c>
      <c r="D19" s="121" t="s">
        <v>1120</v>
      </c>
      <c r="E19" s="122" t="str">
        <f t="shared" si="17"/>
        <v>Agenda ↗</v>
      </c>
      <c r="F19" s="122" t="str">
        <f>HYPERLINK("https://drive.google.com/open?id=1XZ7F-K9hq1xt65xCHe8WhTxPnnUw2HMrTrT7AJmt2Eo","VT ↗")</f>
        <v>VT ↗</v>
      </c>
      <c r="G19" s="122" t="str">
        <f t="shared" si="18"/>
        <v>Cycle folder ↗</v>
      </c>
      <c r="H19" s="123" t="str">
        <f>HYPERLINK("https://drive.google.com/open?id=1xrShBKCfYMbLjhvZHTDjeyOoQ-4EhXOOkMp0r28LrMg","Activity ↗")</f>
        <v>Activity ↗</v>
      </c>
      <c r="I19" s="124">
        <v>46391.0</v>
      </c>
      <c r="J19" s="125" t="s">
        <v>1110</v>
      </c>
      <c r="K19" s="125" t="s">
        <v>1125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ht="26.25" customHeight="1">
      <c r="A20" s="120" t="s">
        <v>593</v>
      </c>
      <c r="B20" s="25" t="s">
        <v>1130</v>
      </c>
      <c r="C20" s="15" t="s">
        <v>896</v>
      </c>
      <c r="D20" s="121" t="s">
        <v>1131</v>
      </c>
      <c r="E20" s="122" t="str">
        <f>HYPERLINK("https://drive.google.com/file/d/1FGOdhMsI4NVsEZq3BtaIVAZVfZxHTGBh9KCzujPKG10/view","Agenda ↗")</f>
        <v>Agenda ↗</v>
      </c>
      <c r="F20" s="122" t="str">
        <f>HYPERLINK("https://drive.google.com/open?id=1o7i1kSvXEbRvkCXl4oTp8YKPFVwgIdi46K2SmQSdksM","VT ↗")</f>
        <v>VT ↗</v>
      </c>
      <c r="G20" s="122" t="str">
        <f>HYPERLINK("https://drive.google.com/drive/folders/1lSREsE87lV-dqy8foAktSXf-uHABeqsN","Cycle folder ↗")</f>
        <v>Cycle folder ↗</v>
      </c>
      <c r="H20" s="123" t="str">
        <f>HYPERLINK("https://drive.google.com/open?id=1mZKK956c7thxvPdgKfCDtuq7Q3qNpA2F5wmtXn81goU","Activity ↗")</f>
        <v>Activity ↗</v>
      </c>
      <c r="I20" s="124">
        <v>46398.0</v>
      </c>
      <c r="J20" s="125" t="s">
        <v>1138</v>
      </c>
      <c r="K20" s="125" t="s">
        <v>1142</v>
      </c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ht="26.25" customHeight="1">
      <c r="A21" s="120" t="s">
        <v>201</v>
      </c>
      <c r="B21" s="25" t="s">
        <v>1146</v>
      </c>
      <c r="C21" s="15" t="s">
        <v>1148</v>
      </c>
      <c r="D21" s="121" t="s">
        <v>1149</v>
      </c>
      <c r="E21" s="122" t="str">
        <f t="shared" ref="E21:E22" si="19">HYPERLINK("https://drive.google.com/file/d/1DxNiLE0NwYqtK2n24quY57JOrC9Z0cwpSDxGoyTL6wQ/view","Agenda ↗")</f>
        <v>Agenda ↗</v>
      </c>
      <c r="F21" s="122" t="str">
        <f>HYPERLINK("https://drive.google.com/open?id=1jSojIg32NnqwkcAZAjQRNF232pqyJHszIzl27Zj7Ik0","VT ↗")</f>
        <v>VT ↗</v>
      </c>
      <c r="G21" s="122" t="str">
        <f t="shared" ref="G21:G22" si="20">HYPERLINK("https://drive.google.com/drive/folders/1LltOdMoB_7F9KQC1rDgjQg77S8sVvkf3","Cycle folder ↗")</f>
        <v>Cycle folder ↗</v>
      </c>
      <c r="H21" s="123" t="str">
        <f>HYPERLINK("https://drive.google.com/open?id=1cO2-nhnnxJpRiOE_0ZXGPdcCrbORi77vLg0M1W0hQvo","Activity ↗")</f>
        <v>Activity ↗</v>
      </c>
      <c r="I21" s="124">
        <v>46405.0</v>
      </c>
      <c r="J21" s="125" t="s">
        <v>1156</v>
      </c>
      <c r="K21" s="125" t="s">
        <v>1160</v>
      </c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ht="26.25" customHeight="1">
      <c r="A22" s="120" t="s">
        <v>615</v>
      </c>
      <c r="B22" s="25" t="s">
        <v>1163</v>
      </c>
      <c r="C22" s="15" t="s">
        <v>1164</v>
      </c>
      <c r="D22" s="121" t="s">
        <v>1166</v>
      </c>
      <c r="E22" s="122" t="str">
        <f t="shared" si="19"/>
        <v>Agenda ↗</v>
      </c>
      <c r="F22" s="122" t="str">
        <f>HYPERLINK("https://drive.google.com/open?id=13yF57Wh7rYtp1jS1JJXTQUAlBVoEF6UFDRf-w72HuZk","VT ↗")</f>
        <v>VT ↗</v>
      </c>
      <c r="G22" s="122" t="str">
        <f t="shared" si="20"/>
        <v>Cycle folder ↗</v>
      </c>
      <c r="H22" s="123" t="str">
        <f>HYPERLINK("https://drive.google.com/open?id=1q3-M9eneUPXG5EdXmuuvkiUraHv_9JnsWQu4DdzFstk","Activity ↗")</f>
        <v>Activity ↗</v>
      </c>
      <c r="I22" s="124">
        <v>46412.0</v>
      </c>
      <c r="J22" s="125" t="s">
        <v>1156</v>
      </c>
      <c r="K22" s="125" t="s">
        <v>1175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ht="26.25" customHeight="1">
      <c r="A23" s="120" t="s">
        <v>215</v>
      </c>
      <c r="B23" s="25" t="s">
        <v>410</v>
      </c>
      <c r="C23" s="15" t="s">
        <v>1181</v>
      </c>
      <c r="D23" s="121" t="s">
        <v>1182</v>
      </c>
      <c r="E23" s="122" t="str">
        <f t="shared" ref="E23:E24" si="21">HYPERLINK("https://drive.google.com/file/d/1TQLmBImkCaWUft2Z-IXFnFr39Jc_c25QhA2kcseRF_0/view","Agenda ↗")</f>
        <v>Agenda ↗</v>
      </c>
      <c r="F23" s="122" t="str">
        <f>HYPERLINK("https://drive.google.com/open?id=1WqWEf3h4WR1ag4k_ePbLeONKVg3o5sArh614Ceqb8LY","VT ↗")</f>
        <v>VT ↗</v>
      </c>
      <c r="G23" s="122" t="str">
        <f t="shared" ref="G23:G24" si="22">HYPERLINK("https://drive.google.com/drive/folders/1XOyYlAk2a5yJkWksIPv6bAtdB5l84Bis","Cycle folder ↗")</f>
        <v>Cycle folder ↗</v>
      </c>
      <c r="H23" s="123" t="str">
        <f>HYPERLINK("https://drive.google.com/open?id=1v0Lat41cKOjSrg6gkGNiYGkVLYWvKWId92lCNL89pmc","Activity ↗")</f>
        <v>Activity ↗</v>
      </c>
      <c r="I23" s="124">
        <v>46419.0</v>
      </c>
      <c r="J23" s="125" t="s">
        <v>1188</v>
      </c>
      <c r="K23" s="125" t="s">
        <v>1191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ht="26.25" customHeight="1">
      <c r="A24" s="120" t="s">
        <v>247</v>
      </c>
      <c r="B24" s="25" t="s">
        <v>639</v>
      </c>
      <c r="C24" s="15" t="s">
        <v>1197</v>
      </c>
      <c r="D24" s="121" t="s">
        <v>1198</v>
      </c>
      <c r="E24" s="122" t="str">
        <f t="shared" si="21"/>
        <v>Agenda ↗</v>
      </c>
      <c r="F24" s="122" t="str">
        <f>HYPERLINK("https://drive.google.com/open?id=1VbPTKFJUt5S2Jzqxdm2gGEkH3NbRZh3jkaftCNU1kqE","VT ↗")</f>
        <v>VT ↗</v>
      </c>
      <c r="G24" s="122" t="str">
        <f t="shared" si="22"/>
        <v>Cycle folder ↗</v>
      </c>
      <c r="H24" s="123" t="str">
        <f>HYPERLINK("https://drive.google.com/open?id=1LrptvlpVmIA3zjBg52Erl6J9BxIuDZYkou4pTBHj9gM","Activity ↗")</f>
        <v>Activity ↗</v>
      </c>
      <c r="I24" s="124">
        <v>46426.0</v>
      </c>
      <c r="J24" s="125" t="s">
        <v>1188</v>
      </c>
      <c r="K24" s="125" t="s">
        <v>1204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ht="26.25" customHeight="1">
      <c r="A25" s="120" t="s">
        <v>267</v>
      </c>
      <c r="B25" s="25" t="s">
        <v>1209</v>
      </c>
      <c r="C25" s="15" t="s">
        <v>1210</v>
      </c>
      <c r="D25" s="121" t="s">
        <v>1211</v>
      </c>
      <c r="E25" s="122" t="str">
        <f t="shared" ref="E25:E26" si="23">HYPERLINK("https://drive.google.com/file/d/1A8m4iIEG7aAdmy6wBt1CGx8j5PZE5Q_Brt8ckA4OUH4/view","Agenda ↗")</f>
        <v>Agenda ↗</v>
      </c>
      <c r="F25" s="122" t="str">
        <f>HYPERLINK("https://drive.google.com/open?id=1e5gJLFa5HQRCqOCYo4BXfZE_SkKWT9Uzou4FjrcAUkI","VT ↗")</f>
        <v>VT ↗</v>
      </c>
      <c r="G25" s="122" t="str">
        <f t="shared" ref="G25:G26" si="24">HYPERLINK("https://drive.google.com/drive/folders/19wtWM4tfDvTtnHuNHGL0aHwrmZFHpSO8","Cycle folder ↗")</f>
        <v>Cycle folder ↗</v>
      </c>
      <c r="H25" s="123" t="str">
        <f>HYPERLINK("https://drive.google.com/open?id=1QjZG_B4p4IQwyIzbZTXntyDllAEP_nFfVMSDyg0PsGU","Activity ↗")</f>
        <v>Activity ↗</v>
      </c>
      <c r="I25" s="124">
        <v>46433.0</v>
      </c>
      <c r="J25" s="125" t="s">
        <v>1215</v>
      </c>
      <c r="K25" s="125" t="s">
        <v>1217</v>
      </c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ht="26.25" customHeight="1">
      <c r="A26" s="120" t="s">
        <v>281</v>
      </c>
      <c r="B26" s="25" t="s">
        <v>453</v>
      </c>
      <c r="C26" s="15" t="s">
        <v>1221</v>
      </c>
      <c r="D26" s="121" t="s">
        <v>1222</v>
      </c>
      <c r="E26" s="122" t="str">
        <f t="shared" si="23"/>
        <v>Agenda ↗</v>
      </c>
      <c r="F26" s="122" t="str">
        <f>HYPERLINK("https://drive.google.com/open?id=1CbRG_vbveTL9PvOUKFggJq11rXKrT81464_-Bc0V4Dk","VT ↗")</f>
        <v>VT ↗</v>
      </c>
      <c r="G26" s="122" t="str">
        <f t="shared" si="24"/>
        <v>Cycle folder ↗</v>
      </c>
      <c r="H26" s="123" t="str">
        <f>HYPERLINK("https://drive.google.com/open?id=1lE6XrfKvRppdf-0gqDXlYCKZt3kLIsG5EHaK8UO5398","Activity ↗")</f>
        <v>Activity ↗</v>
      </c>
      <c r="I26" s="124">
        <v>46440.0</v>
      </c>
      <c r="J26" s="125" t="s">
        <v>1215</v>
      </c>
      <c r="K26" s="125" t="s">
        <v>1226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ht="26.25" customHeight="1">
      <c r="A27" s="120" t="s">
        <v>304</v>
      </c>
      <c r="B27" s="25" t="s">
        <v>468</v>
      </c>
      <c r="C27" s="15" t="s">
        <v>1229</v>
      </c>
      <c r="D27" s="121" t="s">
        <v>1230</v>
      </c>
      <c r="E27" s="122" t="str">
        <f t="shared" ref="E27:E28" si="25">HYPERLINK("https://drive.google.com/file/d/1igjU4S8mwPsxaFXQNFRaa7zINv-mOXdbr65KBYWl5cw/view","Agenda ↗")</f>
        <v>Agenda ↗</v>
      </c>
      <c r="F27" s="122" t="str">
        <f>HYPERLINK("https://drive.google.com/open?id=1qbtarmHNV3mZPxeGYiL6Q95Bz6TdBilEVo3LI3Pc1hE","VT ↗")</f>
        <v>VT ↗</v>
      </c>
      <c r="G27" s="122" t="str">
        <f t="shared" ref="G27:G28" si="26">HYPERLINK("https://drive.google.com/drive/folders/1flXCm6TJKiaenHyVoyBmZVbLHlZDRvNn","Cycle folder ↗")</f>
        <v>Cycle folder ↗</v>
      </c>
      <c r="H27" s="123" t="str">
        <f>HYPERLINK("https://drive.google.com/open?id=13KsLi7ncyMF0_rOoAGK5bgWHHaE5QWWJyN5PuQJAm5I","Activity ↗")</f>
        <v>Activity ↗</v>
      </c>
      <c r="I27" s="124">
        <v>46447.0</v>
      </c>
      <c r="J27" s="125" t="s">
        <v>1234</v>
      </c>
      <c r="K27" s="125" t="s">
        <v>1236</v>
      </c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ht="26.25" customHeight="1">
      <c r="A28" s="120" t="s">
        <v>319</v>
      </c>
      <c r="B28" s="25" t="s">
        <v>1121</v>
      </c>
      <c r="C28" s="15" t="s">
        <v>1240</v>
      </c>
      <c r="D28" s="121" t="s">
        <v>1241</v>
      </c>
      <c r="E28" s="122" t="str">
        <f t="shared" si="25"/>
        <v>Agenda ↗</v>
      </c>
      <c r="F28" s="122" t="str">
        <f>HYPERLINK("https://drive.google.com/open?id=1MMFd6ETm_DZdRvKSaCyLIpf0CSe2CEAWqNK8hF2qrzg","VT ↗")</f>
        <v>VT ↗</v>
      </c>
      <c r="G28" s="122" t="str">
        <f t="shared" si="26"/>
        <v>Cycle folder ↗</v>
      </c>
      <c r="H28" s="123" t="str">
        <f>HYPERLINK("https://drive.google.com/open?id=1uDUphGPphtqcIG_in1NWSl26LS8JuDXmbBmMljB0GQo","Activity ↗")</f>
        <v>Activity ↗</v>
      </c>
      <c r="I28" s="124">
        <v>46454.0</v>
      </c>
      <c r="J28" s="125" t="s">
        <v>1234</v>
      </c>
      <c r="K28" s="125" t="s">
        <v>1246</v>
      </c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ht="26.25" customHeight="1">
      <c r="A29" s="120" t="s">
        <v>329</v>
      </c>
      <c r="B29" s="25" t="s">
        <v>486</v>
      </c>
      <c r="C29" s="15" t="s">
        <v>1256</v>
      </c>
      <c r="D29" s="121" t="s">
        <v>1257</v>
      </c>
      <c r="E29" s="122" t="str">
        <f t="shared" ref="E29:E30" si="27">HYPERLINK("https://drive.google.com/file/d/1XvQxW4sP6X7lXcA5WDjbN9io6X85Kts7PmDtnHY1sMc/view","Agenda ↗")</f>
        <v>Agenda ↗</v>
      </c>
      <c r="F29" s="122" t="str">
        <f>HYPERLINK("https://drive.google.com/open?id=1sjUJpmMkOTl7pRpFI7pL67SZiArG5p_438hIVKHYDog","VT ↗")</f>
        <v>VT ↗</v>
      </c>
      <c r="G29" s="122" t="str">
        <f t="shared" ref="G29:G30" si="28">HYPERLINK("https://drive.google.com/drive/folders/1RKFet7ov0Pfu6kbG1mDfnQKWzGpFHJXA","Cycle folder ↗")</f>
        <v>Cycle folder ↗</v>
      </c>
      <c r="H29" s="123" t="str">
        <f>HYPERLINK("https://drive.google.com/open?id=1xzzgjy4xq24E3GIncn2s52ZuFndVGudXCuHCd-E7wdk","Activity ↗")</f>
        <v>Activity ↗</v>
      </c>
      <c r="I29" s="124">
        <v>46461.0</v>
      </c>
      <c r="J29" s="125" t="s">
        <v>1270</v>
      </c>
      <c r="K29" s="125" t="s">
        <v>1274</v>
      </c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ht="26.25" customHeight="1">
      <c r="A30" s="120" t="s">
        <v>357</v>
      </c>
      <c r="B30" s="25" t="s">
        <v>1281</v>
      </c>
      <c r="C30" s="15" t="s">
        <v>1282</v>
      </c>
      <c r="D30" s="121" t="s">
        <v>1285</v>
      </c>
      <c r="E30" s="122" t="str">
        <f t="shared" si="27"/>
        <v>Agenda ↗</v>
      </c>
      <c r="F30" s="122" t="str">
        <f>HYPERLINK("https://drive.google.com/open?id=1sznscnWQNg9TNdged_tspUHQJSxQdxmqkG9b-patu0s","VT ↗")</f>
        <v>VT ↗</v>
      </c>
      <c r="G30" s="122" t="str">
        <f t="shared" si="28"/>
        <v>Cycle folder ↗</v>
      </c>
      <c r="H30" s="123" t="str">
        <f>HYPERLINK("https://drive.google.com/open?id=1---i0l_PDBFhK2Jq3o6pzXWvgoy2ppKl-mxfDZDMAJE","Activity ↗")</f>
        <v>Activity ↗</v>
      </c>
      <c r="I30" s="124">
        <v>46475.0</v>
      </c>
      <c r="J30" s="125" t="s">
        <v>1270</v>
      </c>
      <c r="K30" s="125" t="s">
        <v>1294</v>
      </c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ht="26.25" customHeight="1">
      <c r="A31" s="120" t="s">
        <v>382</v>
      </c>
      <c r="B31" s="25" t="s">
        <v>727</v>
      </c>
      <c r="C31" s="15" t="s">
        <v>1303</v>
      </c>
      <c r="D31" s="121" t="s">
        <v>1304</v>
      </c>
      <c r="E31" s="122" t="str">
        <f t="shared" ref="E31:E32" si="29">HYPERLINK("https://drive.google.com/file/d/1nosImrgfj6M33rqNoPWdwRnjLoxIpkCgcJW5T5ao69A/view","Agenda ↗")</f>
        <v>Agenda ↗</v>
      </c>
      <c r="F31" s="122" t="str">
        <f>HYPERLINK("https://drive.google.com/open?id=1M4jnuaa2B9YKFKziLYkDIfvpLMBWhqCA7lAzhj2Is98","VT ↗")</f>
        <v>VT ↗</v>
      </c>
      <c r="G31" s="122" t="str">
        <f t="shared" ref="G31:G32" si="30">HYPERLINK("https://drive.google.com/drive/folders/1QUooI_qUo2iLDJCr5gaBdQBc0QHPzxgx","Cycle folder ↗")</f>
        <v>Cycle folder ↗</v>
      </c>
      <c r="H31" s="123" t="str">
        <f>HYPERLINK("https://drive.google.com/open?id=1gaMkKCX4m_K2TxzvCZCMkotp1807VuOsaoYdDnM2fGg","Activity ↗")</f>
        <v>Activity ↗</v>
      </c>
      <c r="I31" s="124">
        <v>46482.0</v>
      </c>
      <c r="J31" s="125" t="s">
        <v>1314</v>
      </c>
      <c r="K31" s="125" t="s">
        <v>1330</v>
      </c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ht="26.25" customHeight="1">
      <c r="A32" s="120" t="s">
        <v>396</v>
      </c>
      <c r="B32" s="25" t="s">
        <v>518</v>
      </c>
      <c r="C32" s="15" t="s">
        <v>1355</v>
      </c>
      <c r="D32" s="121" t="s">
        <v>1356</v>
      </c>
      <c r="E32" s="122" t="str">
        <f t="shared" si="29"/>
        <v>Agenda ↗</v>
      </c>
      <c r="F32" s="122" t="str">
        <f>HYPERLINK("https://drive.google.com/open?id=1gKBIQC0lyCG7SPhdZtg6WnAdkWjj8Eg11oGyfHHOV7s","VT ↗")</f>
        <v>VT ↗</v>
      </c>
      <c r="G32" s="122" t="str">
        <f t="shared" si="30"/>
        <v>Cycle folder ↗</v>
      </c>
      <c r="H32" s="123" t="str">
        <f>HYPERLINK("https://drive.google.com/open?id=1Dn-2Ea65XSQ66HYPjA2n6WNc56SuZaV-ImC2dXP8WD4","Activity ↗")</f>
        <v>Activity ↗</v>
      </c>
      <c r="I32" s="124">
        <v>46489.0</v>
      </c>
      <c r="J32" s="125" t="s">
        <v>1314</v>
      </c>
      <c r="K32" s="125" t="s">
        <v>1385</v>
      </c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ht="26.25" customHeight="1">
      <c r="A33" s="120" t="s">
        <v>413</v>
      </c>
      <c r="B33" s="25" t="s">
        <v>526</v>
      </c>
      <c r="C33" s="15" t="s">
        <v>1411</v>
      </c>
      <c r="D33" s="121" t="s">
        <v>1413</v>
      </c>
      <c r="E33" s="122" t="str">
        <f t="shared" ref="E33:E34" si="31">HYPERLINK("https://drive.google.com/file/d/1rQQ6GEaWQOcUQNaKZNX3nH3DvPJ8IEHP7oSAhQMUhhs/view","Agenda ↗")</f>
        <v>Agenda ↗</v>
      </c>
      <c r="F33" s="122" t="str">
        <f>HYPERLINK("https://drive.google.com/open?id=1Xm_eEma4ZM08PUhv19fV5A9nRh2Fr6LJs_Cuu7bfhWU","VT ↗")</f>
        <v>VT ↗</v>
      </c>
      <c r="G33" s="122" t="str">
        <f t="shared" ref="G33:G34" si="32">HYPERLINK("https://drive.google.com/drive/folders/1QBPOrHc-QBvmh2X03M1aym6ZMGRffNMu","Cycle folder ↗")</f>
        <v>Cycle folder ↗</v>
      </c>
      <c r="H33" s="123" t="str">
        <f>HYPERLINK("https://drive.google.com/open?id=1LxSQqyFN8dYPClZf3IdH_sq5NJhJnoe3xuP0WXRKQdU","Activity ↗")</f>
        <v>Activity ↗</v>
      </c>
      <c r="I33" s="124">
        <v>46496.0</v>
      </c>
      <c r="J33" s="125" t="s">
        <v>1454</v>
      </c>
      <c r="K33" s="125" t="s">
        <v>1470</v>
      </c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ht="26.25" customHeight="1">
      <c r="A34" s="120" t="s">
        <v>760</v>
      </c>
      <c r="B34" s="25" t="s">
        <v>761</v>
      </c>
      <c r="C34" s="15" t="s">
        <v>1500</v>
      </c>
      <c r="D34" s="121" t="s">
        <v>1503</v>
      </c>
      <c r="E34" s="122" t="str">
        <f t="shared" si="31"/>
        <v>Agenda ↗</v>
      </c>
      <c r="F34" s="122" t="str">
        <f>HYPERLINK("https://drive.google.com/open?id=1nOmkJjqw2hPTb_4TQplvWtt8kbMPFtQvlgJ-ej0p-lI","VT ↗")</f>
        <v>VT ↗</v>
      </c>
      <c r="G34" s="122" t="str">
        <f t="shared" si="32"/>
        <v>Cycle folder ↗</v>
      </c>
      <c r="H34" s="123" t="str">
        <f>HYPERLINK("https://drive.google.com/open?id=1WCavjvfvGCMWJbG8EhQuNe-zT5rTgT__8Vbtm9wZ7BA","Activity ↗")</f>
        <v>Activity ↗</v>
      </c>
      <c r="I34" s="124">
        <v>46503.0</v>
      </c>
      <c r="J34" s="125" t="s">
        <v>1454</v>
      </c>
      <c r="K34" s="125" t="s">
        <v>1536</v>
      </c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ht="26.25" customHeight="1">
      <c r="A35" s="120" t="s">
        <v>429</v>
      </c>
      <c r="B35" s="25" t="s">
        <v>541</v>
      </c>
      <c r="C35" s="15" t="s">
        <v>1546</v>
      </c>
      <c r="D35" s="121" t="s">
        <v>1548</v>
      </c>
      <c r="E35" s="122" t="str">
        <f t="shared" ref="E35:E36" si="33">HYPERLINK("https://drive.google.com/file/d/1XeoOfW9gcwd6SwFoupHGYRT_ULGAySQs_zBsrvaqw1s/view","Agenda ↗")</f>
        <v>Agenda ↗</v>
      </c>
      <c r="F35" s="122" t="str">
        <f>HYPERLINK("https://drive.google.com/open?id=1dOCoNeD99kcN9U89FfNee3KKkJw-8bJsxXE9HGQkgl4","VT ↗")</f>
        <v>VT ↗</v>
      </c>
      <c r="G35" s="122" t="str">
        <f t="shared" ref="G35:G36" si="34">HYPERLINK("https://drive.google.com/drive/folders/12t7-0OW0SE2_4ubuFJHucyIkqjet2Naq","Cycle folder ↗")</f>
        <v>Cycle folder ↗</v>
      </c>
      <c r="H35" s="123" t="str">
        <f>HYPERLINK("https://drive.google.com/open?id=1RHxZ4VgpmwJ4YUKcZ41qbDr3JmhDuiSaUYsjXXffXUc","Activity ↗")</f>
        <v>Activity ↗</v>
      </c>
      <c r="I35" s="124">
        <v>46510.0</v>
      </c>
      <c r="J35" s="125" t="s">
        <v>1557</v>
      </c>
      <c r="K35" s="125" t="s">
        <v>1561</v>
      </c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ht="26.25" customHeight="1">
      <c r="A36" s="120" t="s">
        <v>456</v>
      </c>
      <c r="B36" s="25" t="s">
        <v>553</v>
      </c>
      <c r="C36" s="15" t="s">
        <v>1567</v>
      </c>
      <c r="D36" s="121" t="s">
        <v>1569</v>
      </c>
      <c r="E36" s="122" t="str">
        <f t="shared" si="33"/>
        <v>Agenda ↗</v>
      </c>
      <c r="F36" s="122" t="str">
        <f>HYPERLINK("https://drive.google.com/open?id=1iuXuQjwDVcn7V_IpHwsvVA4hOsiOtg5i4I6gXypIiGg","VT ↗")</f>
        <v>VT ↗</v>
      </c>
      <c r="G36" s="122" t="str">
        <f t="shared" si="34"/>
        <v>Cycle folder ↗</v>
      </c>
      <c r="H36" s="128" t="str">
        <f>HYPERLINK("https://drive.google.com/open?id=1m0kE8XFA4joZID2Jo_SIUnwCukPO1ACGbL5_qUxHbm0","Activity ↗")</f>
        <v>Activity ↗</v>
      </c>
      <c r="I36" s="124">
        <v>46517.0</v>
      </c>
      <c r="J36" s="125" t="s">
        <v>1557</v>
      </c>
      <c r="K36" s="125" t="s">
        <v>1576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ht="26.25" customHeight="1">
      <c r="A37" s="120" t="s">
        <v>794</v>
      </c>
      <c r="B37" s="25" t="s">
        <v>562</v>
      </c>
      <c r="C37" s="15" t="s">
        <v>1584</v>
      </c>
      <c r="D37" s="121" t="s">
        <v>1586</v>
      </c>
      <c r="E37" s="122" t="str">
        <f t="shared" ref="E37:E38" si="35">HYPERLINK("https://drive.google.com/file/d/114LKWFsE9wDyDy9QpjXPqMyCyi4_TIrfHAtmZzAZqKE/view","Agenda ↗")</f>
        <v>Agenda ↗</v>
      </c>
      <c r="F37" s="122" t="str">
        <f>HYPERLINK("https://drive.google.com/open?id=1US0KqN9vPf7ogwEVxcFWhaaJVGx7BICg70RoDr8cqRI","VT ↗")</f>
        <v>VT ↗</v>
      </c>
      <c r="G37" s="122" t="str">
        <f t="shared" ref="G37:G38" si="36">HYPERLINK("https://drive.google.com/drive/folders/1iruHCi2QoDDr3ts8TEV3HSasPm6IHat5","Cycle folder ↗")</f>
        <v>Cycle folder ↗</v>
      </c>
      <c r="H37" s="127" t="s">
        <v>31</v>
      </c>
      <c r="I37" s="124">
        <v>46524.0</v>
      </c>
      <c r="J37" s="125" t="s">
        <v>1609</v>
      </c>
      <c r="K37" s="125" t="s">
        <v>1617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ht="26.25" customHeight="1">
      <c r="A38" s="120" t="s">
        <v>806</v>
      </c>
      <c r="B38" s="25" t="s">
        <v>573</v>
      </c>
      <c r="C38" s="15" t="s">
        <v>1632</v>
      </c>
      <c r="D38" s="121" t="s">
        <v>1633</v>
      </c>
      <c r="E38" s="122" t="str">
        <f t="shared" si="35"/>
        <v>Agenda ↗</v>
      </c>
      <c r="F38" s="129" t="s">
        <v>31</v>
      </c>
      <c r="G38" s="122" t="str">
        <f t="shared" si="36"/>
        <v>Cycle folder ↗</v>
      </c>
      <c r="H38" s="127" t="s">
        <v>31</v>
      </c>
      <c r="I38" s="126">
        <v>46531.0</v>
      </c>
      <c r="J38" s="130" t="s">
        <v>1609</v>
      </c>
      <c r="K38" s="125" t="s">
        <v>1643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ht="26.25" customHeight="1">
      <c r="A39" s="120" t="s">
        <v>819</v>
      </c>
      <c r="B39" s="25" t="s">
        <v>579</v>
      </c>
      <c r="C39" s="15" t="s">
        <v>948</v>
      </c>
      <c r="D39" s="121" t="s">
        <v>1652</v>
      </c>
      <c r="E39" s="122" t="str">
        <f>HYPERLINK("https://drive.google.com/file/d/16HgqhZ0shFBIV5QsNazG_F0oK5F2ySe3loNt6YalSnw/view","Agenda ↗")</f>
        <v>Agenda ↗</v>
      </c>
      <c r="F39" s="122" t="str">
        <f>HYPERLINK("https://drive.google.com/open?id=1cd7jaqjUJBcR1qqLro4spJDhJCYPyjjiNgPC9URXUaI","VT ↗")</f>
        <v>VT ↗</v>
      </c>
      <c r="G39" s="122" t="str">
        <f>HYPERLINK("https://drive.google.com/drive/folders/1pfc9EG7UXkUdyqWPQ5diqIUucBkAqbvR","Cycle folder ↗")</f>
        <v>Cycle folder ↗</v>
      </c>
      <c r="H39" s="127" t="s">
        <v>31</v>
      </c>
      <c r="I39" s="126">
        <v>46538.0</v>
      </c>
      <c r="J39" s="130" t="s">
        <v>1666</v>
      </c>
      <c r="K39" s="125" t="s">
        <v>1674</v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ht="15.0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ht="15.0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ht="15.0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ht="15.0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ht="15.0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ht="15.0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ht="15.0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ht="15.0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ht="15.0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ht="15.0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ht="15.0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ht="15.0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ht="15.0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ht="15.0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ht="15.0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ht="15.0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ht="15.0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ht="15.0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ht="15.0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ht="15.0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ht="15.0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ht="15.0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ht="15.0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ht="15.0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ht="15.0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ht="15.0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ht="15.0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ht="15.0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ht="15.0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ht="15.0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ht="15.0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ht="15.0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ht="15.0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ht="15.0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ht="15.0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ht="15.0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ht="15.0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ht="15.0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ht="15.0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ht="15.0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ht="15.0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ht="15.0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ht="15.0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ht="15.0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ht="15.0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ht="15.0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ht="15.0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ht="15.0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ht="15.0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ht="15.0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ht="15.0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ht="15.0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ht="15.0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ht="15.0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ht="15.0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ht="15.0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ht="15.0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ht="15.0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ht="15.0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ht="15.0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ht="15.0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ht="15.0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ht="15.0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ht="15.0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ht="15.0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ht="15.0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ht="15.0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ht="15.0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ht="15.0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ht="15.0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ht="15.0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ht="15.0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ht="15.0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ht="15.0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ht="15.0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ht="15.0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ht="15.0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ht="15.0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ht="15.0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ht="15.0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ht="15.0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ht="15.0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ht="15.0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ht="15.0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ht="15.0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ht="15.0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ht="15.0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ht="15.0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ht="15.0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ht="15.0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ht="15.0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ht="15.0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ht="15.0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ht="15.0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ht="15.0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ht="15.0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ht="15.0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ht="15.0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ht="15.0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ht="15.0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ht="15.0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ht="15.0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ht="15.0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ht="15.0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ht="15.0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ht="15.0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ht="15.0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ht="15.0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ht="15.0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ht="15.0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ht="15.0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ht="15.0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ht="15.0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ht="15.0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ht="15.0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ht="15.0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ht="15.0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ht="15.0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ht="15.0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ht="15.0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ht="15.0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ht="15.0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ht="15.0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ht="15.0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ht="15.0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ht="15.0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ht="15.0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ht="15.0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ht="15.0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ht="15.0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ht="15.0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ht="15.0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ht="15.0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ht="15.0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ht="15.0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ht="15.0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ht="15.0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ht="15.0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ht="15.0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ht="15.0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ht="15.0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ht="15.0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ht="15.0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ht="15.0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ht="15.0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ht="15.0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ht="15.0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ht="15.0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ht="15.0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ht="15.0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ht="15.0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ht="15.0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ht="15.0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ht="15.0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ht="15.0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ht="15.0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ht="15.0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ht="15.0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ht="15.0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ht="15.0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ht="15.0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ht="15.0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ht="15.0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ht="15.0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ht="15.0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ht="15.0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ht="15.0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ht="15.0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ht="15.0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ht="15.0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ht="15.0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ht="15.0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ht="15.0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ht="15.0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ht="15.0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ht="15.0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ht="15.0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ht="15.0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ht="15.0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ht="15.0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ht="15.0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ht="15.0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ht="15.0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ht="15.0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ht="15.0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ht="15.0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ht="15.0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ht="15.0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ht="15.0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ht="15.0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ht="15.0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ht="15.0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ht="15.0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ht="15.0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ht="15.0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ht="15.0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ht="15.0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ht="15.0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ht="15.0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ht="15.0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ht="15.75" customHeight="1">
      <c r="A240" s="3"/>
      <c r="B240" s="3"/>
      <c r="C240" s="3"/>
      <c r="D240" s="3"/>
      <c r="E240" s="3"/>
      <c r="F240" s="3"/>
    </row>
    <row r="241" ht="15.75" customHeight="1">
      <c r="A241" s="3"/>
      <c r="B241" s="3"/>
      <c r="C241" s="3"/>
      <c r="D241" s="3"/>
      <c r="E241" s="3"/>
      <c r="F241" s="3"/>
    </row>
    <row r="242" ht="15.75" customHeight="1">
      <c r="A242" s="3"/>
      <c r="B242" s="3"/>
      <c r="C242" s="3"/>
      <c r="D242" s="3"/>
      <c r="E242" s="3"/>
      <c r="F242" s="3"/>
    </row>
    <row r="243" ht="15.75" customHeight="1">
      <c r="A243" s="3"/>
      <c r="B243" s="3"/>
      <c r="C243" s="3"/>
      <c r="D243" s="3"/>
      <c r="E243" s="3"/>
      <c r="F243" s="3"/>
    </row>
    <row r="244" ht="15.75" customHeight="1">
      <c r="A244" s="3"/>
      <c r="B244" s="3"/>
      <c r="C244" s="3"/>
      <c r="D244" s="3"/>
      <c r="E244" s="3"/>
      <c r="F244" s="3"/>
    </row>
    <row r="245" ht="15.75" customHeight="1">
      <c r="A245" s="3"/>
      <c r="B245" s="3"/>
      <c r="C245" s="3"/>
      <c r="D245" s="3"/>
      <c r="E245" s="3"/>
      <c r="F245" s="3"/>
    </row>
    <row r="246" ht="15.75" customHeight="1">
      <c r="A246" s="3"/>
      <c r="B246" s="3"/>
      <c r="C246" s="3"/>
      <c r="D246" s="3"/>
      <c r="E246" s="3"/>
      <c r="F246" s="3"/>
    </row>
    <row r="247" ht="15.75" customHeight="1">
      <c r="A247" s="3"/>
      <c r="B247" s="3"/>
      <c r="C247" s="3"/>
      <c r="D247" s="3"/>
      <c r="E247" s="3"/>
      <c r="F247" s="3"/>
    </row>
    <row r="248" ht="15.75" customHeight="1">
      <c r="A248" s="3"/>
      <c r="B248" s="3"/>
      <c r="C248" s="3"/>
      <c r="D248" s="3"/>
      <c r="E248" s="3"/>
      <c r="F248" s="3"/>
    </row>
    <row r="249" ht="15.75" customHeight="1">
      <c r="A249" s="3"/>
      <c r="B249" s="3"/>
      <c r="C249" s="3"/>
      <c r="D249" s="3"/>
      <c r="E249" s="3"/>
      <c r="F249" s="3"/>
    </row>
    <row r="250" ht="15.75" customHeight="1">
      <c r="A250" s="3"/>
      <c r="B250" s="3"/>
      <c r="C250" s="3"/>
      <c r="D250" s="3"/>
      <c r="E250" s="3"/>
      <c r="F250" s="3"/>
    </row>
    <row r="251" ht="15.75" customHeight="1">
      <c r="A251" s="3"/>
      <c r="B251" s="3"/>
      <c r="C251" s="3"/>
      <c r="D251" s="3"/>
      <c r="E251" s="3"/>
      <c r="F251" s="3"/>
    </row>
    <row r="252" ht="15.75" customHeight="1">
      <c r="A252" s="3"/>
      <c r="B252" s="3"/>
      <c r="C252" s="3"/>
      <c r="D252" s="3"/>
      <c r="E252" s="3"/>
      <c r="F252" s="3"/>
    </row>
    <row r="253" ht="15.75" customHeight="1">
      <c r="A253" s="3"/>
      <c r="B253" s="3"/>
      <c r="C253" s="3"/>
      <c r="D253" s="3"/>
      <c r="E253" s="3"/>
      <c r="F253" s="3"/>
    </row>
    <row r="254" ht="15.75" customHeight="1">
      <c r="A254" s="3"/>
      <c r="B254" s="3"/>
      <c r="C254" s="3"/>
      <c r="D254" s="3"/>
      <c r="E254" s="3"/>
      <c r="F254" s="3"/>
    </row>
    <row r="255" ht="15.75" customHeight="1">
      <c r="A255" s="3"/>
      <c r="B255" s="3"/>
      <c r="C255" s="3"/>
      <c r="D255" s="3"/>
      <c r="E255" s="3"/>
      <c r="F255" s="3"/>
    </row>
    <row r="256" ht="15.75" customHeight="1">
      <c r="A256" s="3"/>
      <c r="B256" s="3"/>
      <c r="C256" s="3"/>
      <c r="D256" s="3"/>
      <c r="E256" s="3"/>
      <c r="F256" s="3"/>
    </row>
    <row r="257" ht="15.75" customHeight="1">
      <c r="A257" s="3"/>
      <c r="B257" s="3"/>
      <c r="C257" s="3"/>
      <c r="D257" s="3"/>
      <c r="E257" s="3"/>
      <c r="F257" s="3"/>
    </row>
    <row r="258" ht="15.75" customHeight="1">
      <c r="A258" s="3"/>
      <c r="B258" s="3"/>
      <c r="C258" s="3"/>
      <c r="D258" s="3"/>
      <c r="E258" s="3"/>
      <c r="F258" s="3"/>
    </row>
    <row r="259" ht="15.75" customHeight="1">
      <c r="A259" s="3"/>
      <c r="B259" s="3"/>
      <c r="C259" s="3"/>
      <c r="D259" s="3"/>
      <c r="E259" s="3"/>
      <c r="F259" s="3"/>
    </row>
    <row r="260" ht="15.75" customHeight="1">
      <c r="A260" s="3"/>
      <c r="B260" s="3"/>
      <c r="C260" s="3"/>
      <c r="D260" s="3"/>
      <c r="E260" s="3"/>
      <c r="F260" s="3"/>
    </row>
    <row r="261" ht="15.75" customHeight="1">
      <c r="A261" s="3"/>
      <c r="B261" s="3"/>
      <c r="C261" s="3"/>
      <c r="D261" s="3"/>
      <c r="E261" s="3"/>
      <c r="F261" s="3"/>
    </row>
    <row r="262" ht="15.75" customHeight="1">
      <c r="A262" s="3"/>
      <c r="B262" s="3"/>
      <c r="C262" s="3"/>
      <c r="D262" s="3"/>
      <c r="E262" s="3"/>
      <c r="F262" s="3"/>
    </row>
    <row r="263" ht="15.75" customHeight="1">
      <c r="A263" s="3"/>
      <c r="B263" s="3"/>
      <c r="C263" s="3"/>
      <c r="D263" s="3"/>
      <c r="E263" s="3"/>
      <c r="F263" s="3"/>
    </row>
    <row r="264" ht="15.75" customHeight="1">
      <c r="A264" s="3"/>
      <c r="B264" s="3"/>
      <c r="C264" s="3"/>
      <c r="D264" s="3"/>
      <c r="E264" s="3"/>
      <c r="F264" s="3"/>
    </row>
    <row r="265" ht="15.75" customHeight="1">
      <c r="A265" s="3"/>
      <c r="B265" s="3"/>
      <c r="C265" s="3"/>
      <c r="D265" s="3"/>
      <c r="E265" s="3"/>
      <c r="F265" s="3"/>
    </row>
    <row r="266" ht="15.75" customHeight="1">
      <c r="A266" s="3"/>
      <c r="B266" s="3"/>
      <c r="C266" s="3"/>
      <c r="D266" s="3"/>
      <c r="E266" s="3"/>
      <c r="F266" s="3"/>
    </row>
    <row r="267" ht="15.75" customHeight="1">
      <c r="A267" s="3"/>
      <c r="B267" s="3"/>
      <c r="C267" s="3"/>
      <c r="D267" s="3"/>
      <c r="E267" s="3"/>
      <c r="F267" s="3"/>
    </row>
    <row r="268" ht="15.75" customHeight="1">
      <c r="A268" s="3"/>
      <c r="B268" s="3"/>
      <c r="C268" s="3"/>
      <c r="D268" s="3"/>
      <c r="E268" s="3"/>
      <c r="F268" s="3"/>
    </row>
    <row r="269" ht="15.75" customHeight="1">
      <c r="A269" s="3"/>
      <c r="B269" s="3"/>
      <c r="C269" s="3"/>
      <c r="D269" s="3"/>
      <c r="E269" s="3"/>
      <c r="F269" s="3"/>
    </row>
    <row r="270" ht="15.75" customHeight="1">
      <c r="A270" s="3"/>
      <c r="B270" s="3"/>
      <c r="C270" s="3"/>
      <c r="D270" s="3"/>
      <c r="E270" s="3"/>
      <c r="F270" s="3"/>
    </row>
    <row r="271" ht="15.75" customHeight="1">
      <c r="A271" s="3"/>
      <c r="B271" s="3"/>
      <c r="C271" s="3"/>
      <c r="D271" s="3"/>
      <c r="E271" s="3"/>
      <c r="F271" s="3"/>
    </row>
    <row r="272" ht="15.75" customHeight="1">
      <c r="A272" s="3"/>
      <c r="B272" s="3"/>
      <c r="C272" s="3"/>
      <c r="D272" s="3"/>
      <c r="E272" s="3"/>
      <c r="F272" s="3"/>
    </row>
    <row r="273" ht="15.75" customHeight="1">
      <c r="A273" s="3"/>
      <c r="B273" s="3"/>
      <c r="C273" s="3"/>
      <c r="D273" s="3"/>
      <c r="E273" s="3"/>
      <c r="F273" s="3"/>
    </row>
    <row r="274" ht="15.75" customHeight="1">
      <c r="A274" s="3"/>
      <c r="B274" s="3"/>
      <c r="C274" s="3"/>
      <c r="D274" s="3"/>
      <c r="E274" s="3"/>
      <c r="F274" s="3"/>
    </row>
    <row r="275" ht="15.75" customHeight="1">
      <c r="A275" s="3"/>
      <c r="B275" s="3"/>
      <c r="C275" s="3"/>
      <c r="D275" s="3"/>
      <c r="E275" s="3"/>
      <c r="F275" s="3"/>
    </row>
    <row r="276" ht="15.75" customHeight="1">
      <c r="A276" s="3"/>
      <c r="B276" s="3"/>
      <c r="C276" s="3"/>
      <c r="D276" s="3"/>
      <c r="E276" s="3"/>
      <c r="F276" s="3"/>
    </row>
    <row r="277" ht="15.75" customHeight="1">
      <c r="A277" s="3"/>
      <c r="B277" s="3"/>
      <c r="C277" s="3"/>
      <c r="D277" s="3"/>
      <c r="E277" s="3"/>
      <c r="F277" s="3"/>
    </row>
    <row r="278" ht="15.75" customHeight="1">
      <c r="A278" s="3"/>
      <c r="B278" s="3"/>
      <c r="C278" s="3"/>
      <c r="D278" s="3"/>
      <c r="E278" s="3"/>
      <c r="F278" s="3"/>
    </row>
    <row r="279" ht="15.75" customHeight="1">
      <c r="A279" s="3"/>
      <c r="B279" s="3"/>
      <c r="C279" s="3"/>
      <c r="D279" s="3"/>
      <c r="E279" s="3"/>
      <c r="F279" s="3"/>
    </row>
    <row r="280" ht="15.75" customHeight="1">
      <c r="A280" s="3"/>
      <c r="B280" s="3"/>
      <c r="C280" s="3"/>
      <c r="D280" s="3"/>
      <c r="E280" s="3"/>
      <c r="F280" s="3"/>
    </row>
    <row r="281" ht="15.75" customHeight="1">
      <c r="A281" s="3"/>
      <c r="B281" s="3"/>
      <c r="C281" s="3"/>
      <c r="D281" s="3"/>
      <c r="E281" s="3"/>
      <c r="F281" s="3"/>
    </row>
    <row r="282" ht="15.75" customHeight="1">
      <c r="A282" s="3"/>
      <c r="B282" s="3"/>
      <c r="C282" s="3"/>
      <c r="D282" s="3"/>
      <c r="E282" s="3"/>
      <c r="F282" s="3"/>
    </row>
    <row r="283" ht="15.75" customHeight="1">
      <c r="A283" s="3"/>
      <c r="B283" s="3"/>
      <c r="C283" s="3"/>
      <c r="D283" s="3"/>
      <c r="E283" s="3"/>
      <c r="F283" s="3"/>
    </row>
    <row r="284" ht="15.75" customHeight="1">
      <c r="A284" s="3"/>
      <c r="B284" s="3"/>
      <c r="C284" s="3"/>
      <c r="D284" s="3"/>
      <c r="E284" s="3"/>
      <c r="F284" s="3"/>
    </row>
    <row r="285" ht="15.75" customHeight="1">
      <c r="A285" s="3"/>
      <c r="B285" s="3"/>
      <c r="C285" s="3"/>
      <c r="D285" s="3"/>
      <c r="E285" s="3"/>
      <c r="F285" s="3"/>
    </row>
    <row r="286" ht="15.75" customHeight="1">
      <c r="A286" s="3"/>
      <c r="B286" s="3"/>
      <c r="C286" s="3"/>
      <c r="D286" s="3"/>
      <c r="E286" s="3"/>
      <c r="F286" s="3"/>
    </row>
    <row r="287" ht="15.75" customHeight="1">
      <c r="A287" s="3"/>
      <c r="B287" s="3"/>
      <c r="C287" s="3"/>
      <c r="D287" s="3"/>
      <c r="E287" s="3"/>
      <c r="F287" s="3"/>
    </row>
    <row r="288" ht="15.75" customHeight="1">
      <c r="A288" s="3"/>
      <c r="B288" s="3"/>
      <c r="C288" s="3"/>
      <c r="D288" s="3"/>
      <c r="E288" s="3"/>
      <c r="F288" s="3"/>
    </row>
    <row r="289" ht="15.75" customHeight="1">
      <c r="A289" s="3"/>
      <c r="B289" s="3"/>
      <c r="C289" s="3"/>
      <c r="D289" s="3"/>
      <c r="E289" s="3"/>
      <c r="F289" s="3"/>
    </row>
    <row r="290" ht="15.75" customHeight="1">
      <c r="A290" s="3"/>
      <c r="B290" s="3"/>
      <c r="C290" s="3"/>
      <c r="D290" s="3"/>
      <c r="E290" s="3"/>
      <c r="F290" s="3"/>
    </row>
    <row r="291" ht="15.75" customHeight="1">
      <c r="A291" s="3"/>
      <c r="B291" s="3"/>
      <c r="C291" s="3"/>
      <c r="D291" s="3"/>
      <c r="E291" s="3"/>
      <c r="F291" s="3"/>
    </row>
    <row r="292" ht="15.75" customHeight="1">
      <c r="A292" s="3"/>
      <c r="B292" s="3"/>
      <c r="C292" s="3"/>
      <c r="D292" s="3"/>
      <c r="E292" s="3"/>
      <c r="F292" s="3"/>
    </row>
    <row r="293" ht="15.75" customHeight="1">
      <c r="A293" s="3"/>
      <c r="B293" s="3"/>
      <c r="C293" s="3"/>
      <c r="D293" s="3"/>
      <c r="E293" s="3"/>
      <c r="F293" s="3"/>
    </row>
    <row r="294" ht="15.75" customHeight="1">
      <c r="A294" s="3"/>
      <c r="B294" s="3"/>
      <c r="C294" s="3"/>
      <c r="D294" s="3"/>
      <c r="E294" s="3"/>
      <c r="F294" s="3"/>
    </row>
    <row r="295" ht="15.75" customHeight="1">
      <c r="A295" s="3"/>
      <c r="B295" s="3"/>
      <c r="C295" s="3"/>
      <c r="D295" s="3"/>
      <c r="E295" s="3"/>
      <c r="F295" s="3"/>
    </row>
    <row r="296" ht="15.75" customHeight="1">
      <c r="A296" s="3"/>
      <c r="B296" s="3"/>
      <c r="C296" s="3"/>
      <c r="D296" s="3"/>
      <c r="E296" s="3"/>
      <c r="F296" s="3"/>
    </row>
    <row r="297" ht="15.75" customHeight="1">
      <c r="A297" s="3"/>
      <c r="B297" s="3"/>
      <c r="C297" s="3"/>
      <c r="D297" s="3"/>
      <c r="E297" s="3"/>
      <c r="F297" s="3"/>
    </row>
    <row r="298" ht="15.75" customHeight="1">
      <c r="A298" s="3"/>
      <c r="B298" s="3"/>
      <c r="C298" s="3"/>
      <c r="D298" s="3"/>
      <c r="E298" s="3"/>
      <c r="F298" s="3"/>
    </row>
    <row r="299" ht="15.75" customHeight="1">
      <c r="A299" s="3"/>
      <c r="B299" s="3"/>
      <c r="C299" s="3"/>
      <c r="D299" s="3"/>
      <c r="E299" s="3"/>
      <c r="F299" s="3"/>
    </row>
    <row r="300" ht="15.75" customHeight="1">
      <c r="A300" s="3"/>
      <c r="B300" s="3"/>
      <c r="C300" s="3"/>
      <c r="D300" s="3"/>
      <c r="E300" s="3"/>
      <c r="F300" s="3"/>
    </row>
    <row r="301" ht="15.75" customHeight="1">
      <c r="A301" s="3"/>
      <c r="B301" s="3"/>
      <c r="C301" s="3"/>
      <c r="D301" s="3"/>
      <c r="E301" s="3"/>
      <c r="F301" s="3"/>
    </row>
    <row r="302" ht="15.75" customHeight="1">
      <c r="A302" s="3"/>
      <c r="B302" s="3"/>
      <c r="C302" s="3"/>
      <c r="D302" s="3"/>
      <c r="E302" s="3"/>
      <c r="F302" s="3"/>
    </row>
    <row r="303" ht="15.75" customHeight="1">
      <c r="A303" s="3"/>
      <c r="B303" s="3"/>
      <c r="C303" s="3"/>
      <c r="D303" s="3"/>
      <c r="E303" s="3"/>
      <c r="F303" s="3"/>
    </row>
    <row r="304" ht="15.75" customHeight="1">
      <c r="A304" s="3"/>
      <c r="B304" s="3"/>
      <c r="C304" s="3"/>
      <c r="D304" s="3"/>
      <c r="E304" s="3"/>
      <c r="F304" s="3"/>
    </row>
    <row r="305" ht="15.75" customHeight="1">
      <c r="A305" s="3"/>
      <c r="B305" s="3"/>
      <c r="C305" s="3"/>
      <c r="D305" s="3"/>
      <c r="E305" s="3"/>
      <c r="F305" s="3"/>
    </row>
    <row r="306" ht="15.75" customHeight="1">
      <c r="A306" s="3"/>
      <c r="B306" s="3"/>
      <c r="C306" s="3"/>
      <c r="D306" s="3"/>
      <c r="E306" s="3"/>
      <c r="F306" s="3"/>
    </row>
    <row r="307" ht="15.75" customHeight="1">
      <c r="A307" s="3"/>
      <c r="B307" s="3"/>
      <c r="C307" s="3"/>
      <c r="D307" s="3"/>
      <c r="E307" s="3"/>
      <c r="F307" s="3"/>
    </row>
    <row r="308" ht="15.75" customHeight="1">
      <c r="A308" s="3"/>
      <c r="B308" s="3"/>
      <c r="C308" s="3"/>
      <c r="D308" s="3"/>
      <c r="E308" s="3"/>
      <c r="F308" s="3"/>
    </row>
    <row r="309" ht="15.75" customHeight="1">
      <c r="A309" s="3"/>
      <c r="B309" s="3"/>
      <c r="C309" s="3"/>
      <c r="D309" s="3"/>
      <c r="E309" s="3"/>
      <c r="F309" s="3"/>
    </row>
    <row r="310" ht="15.75" customHeight="1">
      <c r="A310" s="3"/>
      <c r="B310" s="3"/>
      <c r="C310" s="3"/>
      <c r="D310" s="3"/>
      <c r="E310" s="3"/>
      <c r="F310" s="3"/>
    </row>
    <row r="311" ht="15.75" customHeight="1">
      <c r="A311" s="3"/>
      <c r="B311" s="3"/>
      <c r="C311" s="3"/>
      <c r="D311" s="3"/>
      <c r="E311" s="3"/>
      <c r="F311" s="3"/>
    </row>
    <row r="312" ht="15.75" customHeight="1">
      <c r="A312" s="3"/>
      <c r="B312" s="3"/>
      <c r="C312" s="3"/>
      <c r="D312" s="3"/>
      <c r="E312" s="3"/>
      <c r="F312" s="3"/>
    </row>
    <row r="313" ht="15.75" customHeight="1">
      <c r="A313" s="3"/>
      <c r="B313" s="3"/>
      <c r="C313" s="3"/>
      <c r="D313" s="3"/>
      <c r="E313" s="3"/>
      <c r="F313" s="3"/>
    </row>
    <row r="314" ht="15.75" customHeight="1">
      <c r="A314" s="3"/>
      <c r="B314" s="3"/>
      <c r="C314" s="3"/>
      <c r="D314" s="3"/>
      <c r="E314" s="3"/>
      <c r="F314" s="3"/>
    </row>
    <row r="315" ht="15.75" customHeight="1">
      <c r="A315" s="3"/>
      <c r="B315" s="3"/>
      <c r="C315" s="3"/>
      <c r="D315" s="3"/>
      <c r="E315" s="3"/>
      <c r="F315" s="3"/>
    </row>
    <row r="316" ht="15.75" customHeight="1">
      <c r="A316" s="3"/>
      <c r="B316" s="3"/>
      <c r="C316" s="3"/>
      <c r="D316" s="3"/>
      <c r="E316" s="3"/>
      <c r="F316" s="3"/>
    </row>
    <row r="317" ht="15.75" customHeight="1">
      <c r="A317" s="3"/>
      <c r="B317" s="3"/>
      <c r="C317" s="3"/>
      <c r="D317" s="3"/>
      <c r="E317" s="3"/>
      <c r="F317" s="3"/>
    </row>
    <row r="318" ht="15.75" customHeight="1">
      <c r="A318" s="3"/>
      <c r="B318" s="3"/>
      <c r="C318" s="3"/>
      <c r="D318" s="3"/>
      <c r="E318" s="3"/>
      <c r="F318" s="3"/>
    </row>
    <row r="319" ht="15.75" customHeight="1">
      <c r="A319" s="3"/>
      <c r="B319" s="3"/>
      <c r="C319" s="3"/>
      <c r="D319" s="3"/>
      <c r="E319" s="3"/>
      <c r="F319" s="3"/>
    </row>
    <row r="320" ht="15.75" customHeight="1">
      <c r="A320" s="3"/>
      <c r="B320" s="3"/>
      <c r="C320" s="3"/>
      <c r="D320" s="3"/>
      <c r="E320" s="3"/>
      <c r="F320" s="3"/>
    </row>
    <row r="321" ht="15.75" customHeight="1">
      <c r="A321" s="3"/>
      <c r="B321" s="3"/>
      <c r="C321" s="3"/>
      <c r="D321" s="3"/>
      <c r="E321" s="3"/>
      <c r="F321" s="3"/>
    </row>
    <row r="322" ht="15.75" customHeight="1">
      <c r="A322" s="3"/>
      <c r="B322" s="3"/>
      <c r="C322" s="3"/>
      <c r="D322" s="3"/>
      <c r="E322" s="3"/>
      <c r="F322" s="3"/>
    </row>
    <row r="323" ht="15.75" customHeight="1">
      <c r="A323" s="3"/>
      <c r="B323" s="3"/>
      <c r="C323" s="3"/>
      <c r="D323" s="3"/>
      <c r="E323" s="3"/>
      <c r="F323" s="3"/>
    </row>
    <row r="324" ht="15.75" customHeight="1">
      <c r="A324" s="3"/>
      <c r="B324" s="3"/>
      <c r="C324" s="3"/>
      <c r="D324" s="3"/>
      <c r="E324" s="3"/>
      <c r="F324" s="3"/>
    </row>
    <row r="325" ht="15.75" customHeight="1">
      <c r="A325" s="3"/>
      <c r="B325" s="3"/>
      <c r="C325" s="3"/>
      <c r="D325" s="3"/>
      <c r="E325" s="3"/>
      <c r="F325" s="3"/>
    </row>
    <row r="326" ht="15.75" customHeight="1">
      <c r="A326" s="3"/>
      <c r="B326" s="3"/>
      <c r="C326" s="3"/>
      <c r="D326" s="3"/>
      <c r="E326" s="3"/>
      <c r="F326" s="3"/>
    </row>
    <row r="327" ht="15.75" customHeight="1">
      <c r="A327" s="3"/>
      <c r="B327" s="3"/>
      <c r="C327" s="3"/>
      <c r="D327" s="3"/>
      <c r="E327" s="3"/>
      <c r="F327" s="3"/>
    </row>
    <row r="328" ht="15.75" customHeight="1">
      <c r="A328" s="3"/>
      <c r="B328" s="3"/>
      <c r="C328" s="3"/>
      <c r="D328" s="3"/>
      <c r="E328" s="3"/>
      <c r="F328" s="3"/>
    </row>
    <row r="329" ht="15.75" customHeight="1">
      <c r="A329" s="3"/>
      <c r="B329" s="3"/>
      <c r="C329" s="3"/>
      <c r="D329" s="3"/>
      <c r="E329" s="3"/>
      <c r="F329" s="3"/>
    </row>
    <row r="330" ht="15.75" customHeight="1">
      <c r="A330" s="3"/>
      <c r="B330" s="3"/>
      <c r="C330" s="3"/>
      <c r="D330" s="3"/>
      <c r="E330" s="3"/>
      <c r="F330" s="3"/>
    </row>
    <row r="331" ht="15.75" customHeight="1">
      <c r="A331" s="3"/>
      <c r="B331" s="3"/>
      <c r="C331" s="3"/>
      <c r="D331" s="3"/>
      <c r="E331" s="3"/>
      <c r="F331" s="3"/>
    </row>
    <row r="332" ht="15.75" customHeight="1">
      <c r="A332" s="3"/>
      <c r="B332" s="3"/>
      <c r="C332" s="3"/>
      <c r="D332" s="3"/>
      <c r="E332" s="3"/>
      <c r="F332" s="3"/>
    </row>
    <row r="333" ht="15.75" customHeight="1">
      <c r="A333" s="3"/>
      <c r="B333" s="3"/>
      <c r="C333" s="3"/>
      <c r="D333" s="3"/>
      <c r="E333" s="3"/>
      <c r="F333" s="3"/>
    </row>
    <row r="334" ht="15.75" customHeight="1">
      <c r="A334" s="3"/>
      <c r="B334" s="3"/>
      <c r="C334" s="3"/>
      <c r="D334" s="3"/>
      <c r="E334" s="3"/>
      <c r="F334" s="3"/>
    </row>
    <row r="335" ht="15.75" customHeight="1">
      <c r="A335" s="3"/>
      <c r="B335" s="3"/>
      <c r="C335" s="3"/>
      <c r="D335" s="3"/>
      <c r="E335" s="3"/>
      <c r="F335" s="3"/>
    </row>
    <row r="336" ht="15.75" customHeight="1">
      <c r="A336" s="3"/>
      <c r="B336" s="3"/>
      <c r="C336" s="3"/>
      <c r="D336" s="3"/>
      <c r="E336" s="3"/>
      <c r="F336" s="3"/>
    </row>
    <row r="337" ht="15.75" customHeight="1">
      <c r="A337" s="3"/>
      <c r="B337" s="3"/>
      <c r="C337" s="3"/>
      <c r="D337" s="3"/>
      <c r="E337" s="3"/>
      <c r="F337" s="3"/>
    </row>
    <row r="338" ht="15.75" customHeight="1">
      <c r="A338" s="3"/>
      <c r="B338" s="3"/>
      <c r="C338" s="3"/>
      <c r="D338" s="3"/>
      <c r="E338" s="3"/>
      <c r="F338" s="3"/>
    </row>
    <row r="339" ht="15.75" customHeight="1">
      <c r="A339" s="3"/>
      <c r="B339" s="3"/>
      <c r="C339" s="3"/>
      <c r="D339" s="3"/>
      <c r="E339" s="3"/>
      <c r="F339" s="3"/>
    </row>
    <row r="340" ht="15.75" customHeight="1">
      <c r="A340" s="3"/>
      <c r="B340" s="3"/>
      <c r="C340" s="3"/>
      <c r="D340" s="3"/>
      <c r="E340" s="3"/>
      <c r="F340" s="3"/>
    </row>
    <row r="341" ht="15.75" customHeight="1">
      <c r="A341" s="3"/>
      <c r="B341" s="3"/>
      <c r="C341" s="3"/>
      <c r="D341" s="3"/>
      <c r="E341" s="3"/>
      <c r="F341" s="3"/>
    </row>
    <row r="342" ht="15.75" customHeight="1">
      <c r="A342" s="3"/>
      <c r="B342" s="3"/>
      <c r="C342" s="3"/>
      <c r="D342" s="3"/>
      <c r="E342" s="3"/>
      <c r="F342" s="3"/>
    </row>
    <row r="343" ht="15.75" customHeight="1">
      <c r="A343" s="3"/>
      <c r="B343" s="3"/>
      <c r="C343" s="3"/>
      <c r="D343" s="3"/>
      <c r="E343" s="3"/>
      <c r="F343" s="3"/>
    </row>
    <row r="344" ht="15.75" customHeight="1">
      <c r="A344" s="3"/>
      <c r="B344" s="3"/>
      <c r="C344" s="3"/>
      <c r="D344" s="3"/>
      <c r="E344" s="3"/>
      <c r="F344" s="3"/>
    </row>
    <row r="345" ht="15.75" customHeight="1">
      <c r="A345" s="3"/>
      <c r="B345" s="3"/>
      <c r="C345" s="3"/>
      <c r="D345" s="3"/>
      <c r="E345" s="3"/>
      <c r="F345" s="3"/>
    </row>
    <row r="346" ht="15.75" customHeight="1">
      <c r="A346" s="3"/>
      <c r="B346" s="3"/>
      <c r="C346" s="3"/>
      <c r="D346" s="3"/>
      <c r="E346" s="3"/>
      <c r="F346" s="3"/>
    </row>
    <row r="347" ht="15.75" customHeight="1">
      <c r="A347" s="3"/>
      <c r="B347" s="3"/>
      <c r="C347" s="3"/>
      <c r="D347" s="3"/>
      <c r="E347" s="3"/>
      <c r="F347" s="3"/>
    </row>
    <row r="348" ht="15.75" customHeight="1">
      <c r="A348" s="3"/>
      <c r="B348" s="3"/>
      <c r="C348" s="3"/>
      <c r="D348" s="3"/>
      <c r="E348" s="3"/>
      <c r="F348" s="3"/>
    </row>
    <row r="349" ht="15.75" customHeight="1">
      <c r="A349" s="3"/>
      <c r="B349" s="3"/>
      <c r="C349" s="3"/>
      <c r="D349" s="3"/>
      <c r="E349" s="3"/>
      <c r="F349" s="3"/>
    </row>
    <row r="350" ht="15.75" customHeight="1">
      <c r="A350" s="3"/>
      <c r="B350" s="3"/>
      <c r="C350" s="3"/>
      <c r="D350" s="3"/>
      <c r="E350" s="3"/>
      <c r="F350" s="3"/>
    </row>
    <row r="351" ht="15.75" customHeight="1">
      <c r="A351" s="3"/>
      <c r="B351" s="3"/>
      <c r="C351" s="3"/>
      <c r="D351" s="3"/>
      <c r="E351" s="3"/>
      <c r="F351" s="3"/>
    </row>
    <row r="352" ht="15.75" customHeight="1">
      <c r="A352" s="3"/>
      <c r="B352" s="3"/>
      <c r="C352" s="3"/>
      <c r="D352" s="3"/>
      <c r="E352" s="3"/>
      <c r="F352" s="3"/>
    </row>
    <row r="353" ht="15.75" customHeight="1">
      <c r="A353" s="3"/>
      <c r="B353" s="3"/>
      <c r="C353" s="3"/>
      <c r="D353" s="3"/>
      <c r="E353" s="3"/>
      <c r="F353" s="3"/>
    </row>
    <row r="354" ht="15.75" customHeight="1">
      <c r="A354" s="3"/>
      <c r="B354" s="3"/>
      <c r="C354" s="3"/>
      <c r="D354" s="3"/>
      <c r="E354" s="3"/>
      <c r="F354" s="3"/>
    </row>
    <row r="355" ht="15.75" customHeight="1">
      <c r="A355" s="3"/>
      <c r="B355" s="3"/>
      <c r="C355" s="3"/>
      <c r="D355" s="3"/>
      <c r="E355" s="3"/>
      <c r="F355" s="3"/>
    </row>
    <row r="356" ht="15.75" customHeight="1">
      <c r="A356" s="3"/>
      <c r="B356" s="3"/>
      <c r="C356" s="3"/>
      <c r="D356" s="3"/>
      <c r="E356" s="3"/>
      <c r="F356" s="3"/>
    </row>
    <row r="357" ht="15.75" customHeight="1">
      <c r="A357" s="3"/>
      <c r="B357" s="3"/>
      <c r="C357" s="3"/>
      <c r="D357" s="3"/>
      <c r="E357" s="3"/>
      <c r="F357" s="3"/>
    </row>
    <row r="358" ht="15.75" customHeight="1">
      <c r="A358" s="3"/>
      <c r="B358" s="3"/>
      <c r="C358" s="3"/>
      <c r="D358" s="3"/>
      <c r="E358" s="3"/>
      <c r="F358" s="3"/>
    </row>
    <row r="359" ht="15.75" customHeight="1">
      <c r="A359" s="3"/>
      <c r="B359" s="3"/>
      <c r="C359" s="3"/>
      <c r="D359" s="3"/>
      <c r="E359" s="3"/>
      <c r="F359" s="3"/>
    </row>
    <row r="360" ht="15.75" customHeight="1">
      <c r="A360" s="3"/>
      <c r="B360" s="3"/>
      <c r="C360" s="3"/>
      <c r="D360" s="3"/>
      <c r="E360" s="3"/>
      <c r="F360" s="3"/>
    </row>
    <row r="361" ht="15.75" customHeight="1">
      <c r="A361" s="3"/>
      <c r="B361" s="3"/>
      <c r="C361" s="3"/>
      <c r="D361" s="3"/>
      <c r="E361" s="3"/>
      <c r="F361" s="3"/>
    </row>
    <row r="362" ht="15.75" customHeight="1">
      <c r="A362" s="3"/>
      <c r="B362" s="3"/>
      <c r="C362" s="3"/>
      <c r="D362" s="3"/>
      <c r="E362" s="3"/>
      <c r="F362" s="3"/>
    </row>
    <row r="363" ht="15.75" customHeight="1">
      <c r="A363" s="3"/>
      <c r="B363" s="3"/>
      <c r="C363" s="3"/>
      <c r="D363" s="3"/>
      <c r="E363" s="3"/>
      <c r="F363" s="3"/>
    </row>
    <row r="364" ht="15.75" customHeight="1">
      <c r="A364" s="3"/>
      <c r="B364" s="3"/>
      <c r="C364" s="3"/>
      <c r="D364" s="3"/>
      <c r="E364" s="3"/>
      <c r="F364" s="3"/>
    </row>
    <row r="365" ht="15.75" customHeight="1">
      <c r="A365" s="3"/>
      <c r="B365" s="3"/>
      <c r="C365" s="3"/>
      <c r="D365" s="3"/>
      <c r="E365" s="3"/>
      <c r="F365" s="3"/>
    </row>
    <row r="366" ht="15.75" customHeight="1">
      <c r="A366" s="3"/>
      <c r="B366" s="3"/>
      <c r="C366" s="3"/>
      <c r="D366" s="3"/>
      <c r="E366" s="3"/>
      <c r="F366" s="3"/>
    </row>
    <row r="367" ht="15.75" customHeight="1">
      <c r="A367" s="3"/>
      <c r="B367" s="3"/>
      <c r="C367" s="3"/>
      <c r="D367" s="3"/>
      <c r="E367" s="3"/>
      <c r="F367" s="3"/>
    </row>
    <row r="368" ht="15.75" customHeight="1">
      <c r="A368" s="3"/>
      <c r="B368" s="3"/>
      <c r="C368" s="3"/>
      <c r="D368" s="3"/>
      <c r="E368" s="3"/>
      <c r="F368" s="3"/>
    </row>
    <row r="369" ht="15.75" customHeight="1">
      <c r="A369" s="3"/>
      <c r="B369" s="3"/>
      <c r="C369" s="3"/>
      <c r="D369" s="3"/>
      <c r="E369" s="3"/>
      <c r="F369" s="3"/>
    </row>
    <row r="370" ht="15.75" customHeight="1">
      <c r="A370" s="3"/>
      <c r="B370" s="3"/>
      <c r="C370" s="3"/>
      <c r="D370" s="3"/>
      <c r="E370" s="3"/>
      <c r="F370" s="3"/>
    </row>
    <row r="371" ht="15.75" customHeight="1">
      <c r="A371" s="3"/>
      <c r="B371" s="3"/>
      <c r="C371" s="3"/>
      <c r="D371" s="3"/>
      <c r="E371" s="3"/>
      <c r="F371" s="3"/>
    </row>
    <row r="372" ht="15.75" customHeight="1">
      <c r="A372" s="3"/>
      <c r="B372" s="3"/>
      <c r="C372" s="3"/>
      <c r="D372" s="3"/>
      <c r="E372" s="3"/>
      <c r="F372" s="3"/>
    </row>
    <row r="373" ht="15.75" customHeight="1">
      <c r="A373" s="3"/>
      <c r="B373" s="3"/>
      <c r="C373" s="3"/>
      <c r="D373" s="3"/>
      <c r="E373" s="3"/>
      <c r="F373" s="3"/>
    </row>
    <row r="374" ht="15.75" customHeight="1">
      <c r="A374" s="3"/>
      <c r="B374" s="3"/>
      <c r="C374" s="3"/>
      <c r="D374" s="3"/>
      <c r="E374" s="3"/>
      <c r="F374" s="3"/>
    </row>
    <row r="375" ht="15.75" customHeight="1">
      <c r="A375" s="3"/>
      <c r="B375" s="3"/>
      <c r="C375" s="3"/>
      <c r="D375" s="3"/>
      <c r="E375" s="3"/>
      <c r="F375" s="3"/>
    </row>
    <row r="376" ht="15.75" customHeight="1">
      <c r="A376" s="3"/>
      <c r="B376" s="3"/>
      <c r="C376" s="3"/>
      <c r="D376" s="3"/>
      <c r="E376" s="3"/>
      <c r="F376" s="3"/>
    </row>
    <row r="377" ht="15.75" customHeight="1">
      <c r="A377" s="3"/>
      <c r="B377" s="3"/>
      <c r="C377" s="3"/>
      <c r="D377" s="3"/>
      <c r="E377" s="3"/>
      <c r="F377" s="3"/>
    </row>
    <row r="378" ht="15.75" customHeight="1">
      <c r="A378" s="3"/>
      <c r="B378" s="3"/>
      <c r="C378" s="3"/>
      <c r="D378" s="3"/>
      <c r="E378" s="3"/>
      <c r="F378" s="3"/>
    </row>
    <row r="379" ht="15.75" customHeight="1">
      <c r="A379" s="3"/>
      <c r="B379" s="3"/>
      <c r="C379" s="3"/>
      <c r="D379" s="3"/>
      <c r="E379" s="3"/>
      <c r="F379" s="3"/>
    </row>
    <row r="380" ht="15.75" customHeight="1">
      <c r="A380" s="3"/>
      <c r="B380" s="3"/>
      <c r="C380" s="3"/>
      <c r="D380" s="3"/>
      <c r="E380" s="3"/>
      <c r="F380" s="3"/>
    </row>
    <row r="381" ht="15.75" customHeight="1">
      <c r="A381" s="3"/>
      <c r="B381" s="3"/>
      <c r="C381" s="3"/>
      <c r="D381" s="3"/>
      <c r="E381" s="3"/>
      <c r="F381" s="3"/>
    </row>
    <row r="382" ht="15.75" customHeight="1">
      <c r="A382" s="3"/>
      <c r="B382" s="3"/>
      <c r="C382" s="3"/>
      <c r="D382" s="3"/>
      <c r="E382" s="3"/>
      <c r="F382" s="3"/>
    </row>
    <row r="383" ht="15.75" customHeight="1">
      <c r="A383" s="3"/>
      <c r="B383" s="3"/>
      <c r="C383" s="3"/>
      <c r="D383" s="3"/>
      <c r="E383" s="3"/>
      <c r="F383" s="3"/>
    </row>
    <row r="384" ht="15.75" customHeight="1">
      <c r="A384" s="3"/>
      <c r="B384" s="3"/>
      <c r="C384" s="3"/>
      <c r="D384" s="3"/>
      <c r="E384" s="3"/>
      <c r="F384" s="3"/>
    </row>
    <row r="385" ht="15.75" customHeight="1">
      <c r="A385" s="3"/>
      <c r="B385" s="3"/>
      <c r="C385" s="3"/>
      <c r="D385" s="3"/>
      <c r="E385" s="3"/>
      <c r="F385" s="3"/>
    </row>
    <row r="386" ht="15.75" customHeight="1">
      <c r="A386" s="3"/>
      <c r="B386" s="3"/>
      <c r="C386" s="3"/>
      <c r="D386" s="3"/>
      <c r="E386" s="3"/>
      <c r="F386" s="3"/>
    </row>
    <row r="387" ht="15.75" customHeight="1">
      <c r="A387" s="3"/>
      <c r="B387" s="3"/>
      <c r="C387" s="3"/>
      <c r="D387" s="3"/>
      <c r="E387" s="3"/>
      <c r="F387" s="3"/>
    </row>
    <row r="388" ht="15.75" customHeight="1">
      <c r="A388" s="3"/>
      <c r="B388" s="3"/>
      <c r="C388" s="3"/>
      <c r="D388" s="3"/>
      <c r="E388" s="3"/>
      <c r="F388" s="3"/>
    </row>
    <row r="389" ht="15.75" customHeight="1">
      <c r="A389" s="3"/>
      <c r="B389" s="3"/>
      <c r="C389" s="3"/>
      <c r="D389" s="3"/>
      <c r="E389" s="3"/>
      <c r="F389" s="3"/>
    </row>
    <row r="390" ht="15.75" customHeight="1">
      <c r="A390" s="3"/>
      <c r="B390" s="3"/>
      <c r="C390" s="3"/>
      <c r="D390" s="3"/>
      <c r="E390" s="3"/>
      <c r="F390" s="3"/>
    </row>
    <row r="391" ht="15.75" customHeight="1">
      <c r="A391" s="3"/>
      <c r="B391" s="3"/>
      <c r="C391" s="3"/>
      <c r="D391" s="3"/>
      <c r="E391" s="3"/>
      <c r="F391" s="3"/>
    </row>
    <row r="392" ht="15.75" customHeight="1">
      <c r="A392" s="3"/>
      <c r="B392" s="3"/>
      <c r="C392" s="3"/>
      <c r="D392" s="3"/>
      <c r="E392" s="3"/>
      <c r="F392" s="3"/>
    </row>
    <row r="393" ht="15.75" customHeight="1">
      <c r="A393" s="3"/>
      <c r="B393" s="3"/>
      <c r="C393" s="3"/>
      <c r="D393" s="3"/>
      <c r="E393" s="3"/>
      <c r="F393" s="3"/>
    </row>
    <row r="394" ht="15.75" customHeight="1">
      <c r="A394" s="3"/>
      <c r="B394" s="3"/>
      <c r="C394" s="3"/>
      <c r="D394" s="3"/>
      <c r="E394" s="3"/>
      <c r="F394" s="3"/>
    </row>
    <row r="395" ht="15.75" customHeight="1">
      <c r="A395" s="3"/>
      <c r="B395" s="3"/>
      <c r="C395" s="3"/>
      <c r="D395" s="3"/>
      <c r="E395" s="3"/>
      <c r="F395" s="3"/>
    </row>
    <row r="396" ht="15.75" customHeight="1">
      <c r="A396" s="3"/>
      <c r="B396" s="3"/>
      <c r="C396" s="3"/>
      <c r="D396" s="3"/>
      <c r="E396" s="3"/>
      <c r="F396" s="3"/>
    </row>
    <row r="397" ht="15.75" customHeight="1">
      <c r="A397" s="3"/>
      <c r="B397" s="3"/>
      <c r="C397" s="3"/>
      <c r="D397" s="3"/>
      <c r="E397" s="3"/>
      <c r="F397" s="3"/>
    </row>
    <row r="398" ht="15.75" customHeight="1">
      <c r="A398" s="3"/>
      <c r="B398" s="3"/>
      <c r="C398" s="3"/>
      <c r="D398" s="3"/>
      <c r="E398" s="3"/>
      <c r="F398" s="3"/>
    </row>
    <row r="399" ht="15.75" customHeight="1">
      <c r="A399" s="3"/>
      <c r="B399" s="3"/>
      <c r="C399" s="3"/>
      <c r="D399" s="3"/>
      <c r="E399" s="3"/>
      <c r="F399" s="3"/>
    </row>
    <row r="400" ht="15.75" customHeight="1">
      <c r="A400" s="3"/>
      <c r="B400" s="3"/>
      <c r="C400" s="3"/>
      <c r="D400" s="3"/>
      <c r="E400" s="3"/>
      <c r="F400" s="3"/>
    </row>
    <row r="401" ht="15.75" customHeight="1">
      <c r="A401" s="3"/>
      <c r="B401" s="3"/>
      <c r="C401" s="3"/>
      <c r="D401" s="3"/>
      <c r="E401" s="3"/>
      <c r="F401" s="3"/>
    </row>
    <row r="402" ht="15.75" customHeight="1">
      <c r="A402" s="3"/>
      <c r="B402" s="3"/>
      <c r="C402" s="3"/>
      <c r="D402" s="3"/>
      <c r="E402" s="3"/>
      <c r="F402" s="3"/>
    </row>
    <row r="403" ht="15.75" customHeight="1">
      <c r="A403" s="3"/>
      <c r="B403" s="3"/>
      <c r="C403" s="3"/>
      <c r="D403" s="3"/>
      <c r="E403" s="3"/>
      <c r="F403" s="3"/>
    </row>
    <row r="404" ht="15.75" customHeight="1">
      <c r="A404" s="3"/>
      <c r="B404" s="3"/>
      <c r="C404" s="3"/>
      <c r="D404" s="3"/>
      <c r="E404" s="3"/>
      <c r="F404" s="3"/>
    </row>
    <row r="405" ht="15.75" customHeight="1">
      <c r="A405" s="3"/>
      <c r="B405" s="3"/>
      <c r="C405" s="3"/>
      <c r="D405" s="3"/>
      <c r="E405" s="3"/>
      <c r="F405" s="3"/>
    </row>
    <row r="406" ht="15.75" customHeight="1">
      <c r="A406" s="3"/>
      <c r="B406" s="3"/>
      <c r="C406" s="3"/>
      <c r="D406" s="3"/>
      <c r="E406" s="3"/>
      <c r="F406" s="3"/>
    </row>
    <row r="407" ht="15.75" customHeight="1">
      <c r="A407" s="3"/>
      <c r="B407" s="3"/>
      <c r="C407" s="3"/>
      <c r="D407" s="3"/>
      <c r="E407" s="3"/>
      <c r="F407" s="3"/>
    </row>
    <row r="408" ht="15.75" customHeight="1">
      <c r="A408" s="3"/>
      <c r="B408" s="3"/>
      <c r="C408" s="3"/>
      <c r="D408" s="3"/>
      <c r="E408" s="3"/>
      <c r="F408" s="3"/>
    </row>
    <row r="409" ht="15.75" customHeight="1">
      <c r="A409" s="3"/>
      <c r="B409" s="3"/>
      <c r="C409" s="3"/>
      <c r="D409" s="3"/>
      <c r="E409" s="3"/>
      <c r="F409" s="3"/>
    </row>
    <row r="410" ht="15.75" customHeight="1">
      <c r="A410" s="3"/>
      <c r="B410" s="3"/>
      <c r="C410" s="3"/>
      <c r="D410" s="3"/>
      <c r="E410" s="3"/>
      <c r="F410" s="3"/>
    </row>
    <row r="411" ht="15.75" customHeight="1">
      <c r="A411" s="3"/>
      <c r="B411" s="3"/>
      <c r="C411" s="3"/>
      <c r="D411" s="3"/>
      <c r="E411" s="3"/>
      <c r="F411" s="3"/>
    </row>
    <row r="412" ht="15.75" customHeight="1">
      <c r="A412" s="3"/>
      <c r="B412" s="3"/>
      <c r="C412" s="3"/>
      <c r="D412" s="3"/>
      <c r="E412" s="3"/>
      <c r="F412" s="3"/>
    </row>
    <row r="413" ht="15.75" customHeight="1">
      <c r="A413" s="3"/>
      <c r="B413" s="3"/>
      <c r="C413" s="3"/>
      <c r="D413" s="3"/>
      <c r="E413" s="3"/>
      <c r="F413" s="3"/>
    </row>
    <row r="414" ht="15.75" customHeight="1">
      <c r="A414" s="3"/>
      <c r="B414" s="3"/>
      <c r="C414" s="3"/>
      <c r="D414" s="3"/>
      <c r="E414" s="3"/>
      <c r="F414" s="3"/>
    </row>
    <row r="415" ht="15.75" customHeight="1">
      <c r="A415" s="3"/>
      <c r="B415" s="3"/>
      <c r="C415" s="3"/>
      <c r="D415" s="3"/>
      <c r="E415" s="3"/>
      <c r="F415" s="3"/>
    </row>
    <row r="416" ht="15.75" customHeight="1">
      <c r="A416" s="3"/>
      <c r="B416" s="3"/>
      <c r="C416" s="3"/>
      <c r="D416" s="3"/>
      <c r="E416" s="3"/>
      <c r="F416" s="3"/>
    </row>
    <row r="417" ht="15.75" customHeight="1">
      <c r="A417" s="3"/>
      <c r="B417" s="3"/>
      <c r="C417" s="3"/>
      <c r="D417" s="3"/>
      <c r="E417" s="3"/>
      <c r="F417" s="3"/>
    </row>
    <row r="418" ht="15.75" customHeight="1">
      <c r="A418" s="3"/>
      <c r="B418" s="3"/>
      <c r="C418" s="3"/>
      <c r="D418" s="3"/>
      <c r="E418" s="3"/>
      <c r="F418" s="3"/>
    </row>
    <row r="419" ht="15.75" customHeight="1">
      <c r="A419" s="3"/>
      <c r="B419" s="3"/>
      <c r="C419" s="3"/>
      <c r="D419" s="3"/>
      <c r="E419" s="3"/>
      <c r="F419" s="3"/>
    </row>
    <row r="420" ht="15.75" customHeight="1">
      <c r="A420" s="3"/>
      <c r="B420" s="3"/>
      <c r="C420" s="3"/>
      <c r="D420" s="3"/>
      <c r="E420" s="3"/>
      <c r="F420" s="3"/>
    </row>
    <row r="421" ht="15.75" customHeight="1">
      <c r="A421" s="3"/>
      <c r="B421" s="3"/>
      <c r="C421" s="3"/>
      <c r="D421" s="3"/>
      <c r="E421" s="3"/>
      <c r="F421" s="3"/>
    </row>
    <row r="422" ht="15.75" customHeight="1">
      <c r="A422" s="3"/>
      <c r="B422" s="3"/>
      <c r="C422" s="3"/>
      <c r="D422" s="3"/>
      <c r="E422" s="3"/>
      <c r="F422" s="3"/>
    </row>
    <row r="423" ht="15.75" customHeight="1">
      <c r="A423" s="3"/>
      <c r="B423" s="3"/>
      <c r="C423" s="3"/>
      <c r="D423" s="3"/>
      <c r="E423" s="3"/>
      <c r="F423" s="3"/>
    </row>
    <row r="424" ht="15.75" customHeight="1">
      <c r="A424" s="3"/>
      <c r="B424" s="3"/>
      <c r="C424" s="3"/>
      <c r="D424" s="3"/>
      <c r="E424" s="3"/>
      <c r="F424" s="3"/>
    </row>
    <row r="425" ht="15.75" customHeight="1">
      <c r="A425" s="3"/>
      <c r="B425" s="3"/>
      <c r="C425" s="3"/>
      <c r="D425" s="3"/>
      <c r="E425" s="3"/>
      <c r="F425" s="3"/>
    </row>
    <row r="426" ht="15.75" customHeight="1">
      <c r="A426" s="3"/>
      <c r="B426" s="3"/>
      <c r="C426" s="3"/>
      <c r="D426" s="3"/>
      <c r="E426" s="3"/>
      <c r="F426" s="3"/>
    </row>
    <row r="427" ht="15.75" customHeight="1">
      <c r="A427" s="3"/>
      <c r="B427" s="3"/>
      <c r="C427" s="3"/>
      <c r="D427" s="3"/>
      <c r="E427" s="3"/>
      <c r="F427" s="3"/>
    </row>
    <row r="428" ht="15.75" customHeight="1">
      <c r="A428" s="3"/>
      <c r="B428" s="3"/>
      <c r="C428" s="3"/>
      <c r="D428" s="3"/>
      <c r="E428" s="3"/>
      <c r="F428" s="3"/>
    </row>
    <row r="429" ht="15.75" customHeight="1">
      <c r="A429" s="3"/>
      <c r="B429" s="3"/>
      <c r="C429" s="3"/>
      <c r="D429" s="3"/>
      <c r="E429" s="3"/>
      <c r="F429" s="3"/>
    </row>
    <row r="430" ht="15.75" customHeight="1">
      <c r="A430" s="3"/>
      <c r="B430" s="3"/>
      <c r="C430" s="3"/>
      <c r="D430" s="3"/>
      <c r="E430" s="3"/>
      <c r="F430" s="3"/>
    </row>
    <row r="431" ht="15.75" customHeight="1">
      <c r="A431" s="3"/>
      <c r="B431" s="3"/>
      <c r="C431" s="3"/>
      <c r="D431" s="3"/>
      <c r="E431" s="3"/>
      <c r="F431" s="3"/>
    </row>
    <row r="432" ht="15.75" customHeight="1">
      <c r="A432" s="3"/>
      <c r="B432" s="3"/>
      <c r="C432" s="3"/>
      <c r="D432" s="3"/>
      <c r="E432" s="3"/>
      <c r="F432" s="3"/>
    </row>
    <row r="433" ht="15.75" customHeight="1">
      <c r="A433" s="3"/>
      <c r="B433" s="3"/>
      <c r="C433" s="3"/>
      <c r="D433" s="3"/>
      <c r="E433" s="3"/>
      <c r="F433" s="3"/>
    </row>
    <row r="434" ht="15.75" customHeight="1">
      <c r="A434" s="3"/>
      <c r="B434" s="3"/>
      <c r="C434" s="3"/>
      <c r="D434" s="3"/>
      <c r="E434" s="3"/>
      <c r="F434" s="3"/>
    </row>
    <row r="435" ht="15.75" customHeight="1">
      <c r="A435" s="3"/>
      <c r="B435" s="3"/>
      <c r="C435" s="3"/>
      <c r="D435" s="3"/>
      <c r="E435" s="3"/>
      <c r="F435" s="3"/>
    </row>
    <row r="436" ht="15.75" customHeight="1">
      <c r="A436" s="3"/>
      <c r="B436" s="3"/>
      <c r="C436" s="3"/>
      <c r="D436" s="3"/>
      <c r="E436" s="3"/>
      <c r="F436" s="3"/>
    </row>
    <row r="437" ht="15.75" customHeight="1">
      <c r="A437" s="3"/>
      <c r="B437" s="3"/>
      <c r="C437" s="3"/>
      <c r="D437" s="3"/>
      <c r="E437" s="3"/>
      <c r="F437" s="3"/>
    </row>
    <row r="438" ht="15.75" customHeight="1">
      <c r="A438" s="3"/>
      <c r="B438" s="3"/>
      <c r="C438" s="3"/>
      <c r="D438" s="3"/>
      <c r="E438" s="3"/>
      <c r="F438" s="3"/>
    </row>
    <row r="439" ht="15.75" customHeight="1">
      <c r="A439" s="3"/>
      <c r="B439" s="3"/>
      <c r="C439" s="3"/>
      <c r="D439" s="3"/>
      <c r="E439" s="3"/>
      <c r="F439" s="3"/>
    </row>
    <row r="440" ht="15.75" customHeight="1">
      <c r="A440" s="3"/>
      <c r="B440" s="3"/>
      <c r="C440" s="3"/>
      <c r="D440" s="3"/>
      <c r="E440" s="3"/>
      <c r="F440" s="3"/>
    </row>
    <row r="441" ht="15.75" customHeight="1">
      <c r="A441" s="3"/>
      <c r="B441" s="3"/>
      <c r="C441" s="3"/>
      <c r="D441" s="3"/>
      <c r="E441" s="3"/>
      <c r="F441" s="3"/>
    </row>
    <row r="442" ht="15.75" customHeight="1">
      <c r="A442" s="3"/>
      <c r="B442" s="3"/>
      <c r="C442" s="3"/>
      <c r="D442" s="3"/>
      <c r="E442" s="3"/>
      <c r="F442" s="3"/>
    </row>
    <row r="443" ht="15.75" customHeight="1">
      <c r="A443" s="3"/>
      <c r="B443" s="3"/>
      <c r="C443" s="3"/>
      <c r="D443" s="3"/>
      <c r="E443" s="3"/>
      <c r="F443" s="3"/>
    </row>
    <row r="444" ht="15.75" customHeight="1">
      <c r="A444" s="3"/>
      <c r="B444" s="3"/>
      <c r="C444" s="3"/>
      <c r="D444" s="3"/>
      <c r="E444" s="3"/>
      <c r="F444" s="3"/>
    </row>
    <row r="445" ht="15.75" customHeight="1">
      <c r="A445" s="3"/>
      <c r="B445" s="3"/>
      <c r="C445" s="3"/>
      <c r="D445" s="3"/>
      <c r="E445" s="3"/>
      <c r="F445" s="3"/>
    </row>
    <row r="446" ht="15.75" customHeight="1">
      <c r="A446" s="3"/>
      <c r="B446" s="3"/>
      <c r="C446" s="3"/>
      <c r="D446" s="3"/>
      <c r="E446" s="3"/>
      <c r="F446" s="3"/>
    </row>
    <row r="447" ht="15.75" customHeight="1">
      <c r="A447" s="3"/>
      <c r="B447" s="3"/>
      <c r="C447" s="3"/>
      <c r="D447" s="3"/>
      <c r="E447" s="3"/>
      <c r="F447" s="3"/>
    </row>
    <row r="448" ht="15.75" customHeight="1">
      <c r="A448" s="3"/>
      <c r="B448" s="3"/>
      <c r="C448" s="3"/>
      <c r="D448" s="3"/>
      <c r="E448" s="3"/>
      <c r="F448" s="3"/>
    </row>
    <row r="449" ht="15.75" customHeight="1">
      <c r="A449" s="3"/>
      <c r="B449" s="3"/>
      <c r="C449" s="3"/>
      <c r="D449" s="3"/>
      <c r="E449" s="3"/>
      <c r="F449" s="3"/>
    </row>
    <row r="450" ht="15.75" customHeight="1">
      <c r="A450" s="3"/>
      <c r="B450" s="3"/>
      <c r="C450" s="3"/>
      <c r="D450" s="3"/>
      <c r="E450" s="3"/>
      <c r="F450" s="3"/>
    </row>
    <row r="451" ht="15.75" customHeight="1">
      <c r="A451" s="3"/>
      <c r="B451" s="3"/>
      <c r="C451" s="3"/>
      <c r="D451" s="3"/>
      <c r="E451" s="3"/>
      <c r="F451" s="3"/>
    </row>
    <row r="452" ht="15.75" customHeight="1">
      <c r="A452" s="3"/>
      <c r="B452" s="3"/>
      <c r="C452" s="3"/>
      <c r="D452" s="3"/>
      <c r="E452" s="3"/>
      <c r="F452" s="3"/>
    </row>
    <row r="453" ht="15.75" customHeight="1">
      <c r="A453" s="3"/>
      <c r="B453" s="3"/>
      <c r="C453" s="3"/>
      <c r="D453" s="3"/>
      <c r="E453" s="3"/>
      <c r="F453" s="3"/>
    </row>
    <row r="454" ht="15.75" customHeight="1">
      <c r="A454" s="3"/>
      <c r="B454" s="3"/>
      <c r="C454" s="3"/>
      <c r="D454" s="3"/>
      <c r="E454" s="3"/>
      <c r="F454" s="3"/>
    </row>
    <row r="455" ht="15.75" customHeight="1">
      <c r="A455" s="3"/>
      <c r="B455" s="3"/>
      <c r="C455" s="3"/>
      <c r="D455" s="3"/>
      <c r="E455" s="3"/>
      <c r="F455" s="3"/>
    </row>
    <row r="456" ht="15.75" customHeight="1">
      <c r="A456" s="3"/>
      <c r="B456" s="3"/>
      <c r="C456" s="3"/>
      <c r="D456" s="3"/>
      <c r="E456" s="3"/>
      <c r="F456" s="3"/>
    </row>
    <row r="457" ht="15.75" customHeight="1">
      <c r="A457" s="3"/>
      <c r="B457" s="3"/>
      <c r="C457" s="3"/>
      <c r="D457" s="3"/>
      <c r="E457" s="3"/>
      <c r="F457" s="3"/>
    </row>
    <row r="458" ht="15.75" customHeight="1">
      <c r="A458" s="3"/>
      <c r="B458" s="3"/>
      <c r="C458" s="3"/>
      <c r="D458" s="3"/>
      <c r="E458" s="3"/>
      <c r="F458" s="3"/>
    </row>
    <row r="459" ht="15.75" customHeight="1">
      <c r="A459" s="3"/>
      <c r="B459" s="3"/>
      <c r="C459" s="3"/>
      <c r="D459" s="3"/>
      <c r="E459" s="3"/>
      <c r="F459" s="3"/>
    </row>
    <row r="460" ht="15.75" customHeight="1">
      <c r="A460" s="3"/>
      <c r="B460" s="3"/>
      <c r="C460" s="3"/>
      <c r="D460" s="3"/>
      <c r="E460" s="3"/>
      <c r="F460" s="3"/>
    </row>
    <row r="461" ht="15.75" customHeight="1">
      <c r="A461" s="3"/>
      <c r="B461" s="3"/>
      <c r="C461" s="3"/>
      <c r="D461" s="3"/>
      <c r="E461" s="3"/>
      <c r="F461" s="3"/>
    </row>
    <row r="462" ht="15.75" customHeight="1">
      <c r="A462" s="3"/>
      <c r="B462" s="3"/>
      <c r="C462" s="3"/>
      <c r="D462" s="3"/>
      <c r="E462" s="3"/>
      <c r="F462" s="3"/>
    </row>
    <row r="463" ht="15.75" customHeight="1">
      <c r="A463" s="3"/>
      <c r="B463" s="3"/>
      <c r="C463" s="3"/>
      <c r="D463" s="3"/>
      <c r="E463" s="3"/>
      <c r="F463" s="3"/>
    </row>
    <row r="464" ht="15.75" customHeight="1">
      <c r="A464" s="3"/>
      <c r="B464" s="3"/>
      <c r="C464" s="3"/>
      <c r="D464" s="3"/>
      <c r="E464" s="3"/>
      <c r="F464" s="3"/>
    </row>
    <row r="465" ht="15.75" customHeight="1">
      <c r="A465" s="3"/>
      <c r="B465" s="3"/>
      <c r="C465" s="3"/>
      <c r="D465" s="3"/>
      <c r="E465" s="3"/>
      <c r="F465" s="3"/>
    </row>
    <row r="466" ht="15.75" customHeight="1">
      <c r="A466" s="3"/>
      <c r="B466" s="3"/>
      <c r="C466" s="3"/>
      <c r="D466" s="3"/>
      <c r="E466" s="3"/>
      <c r="F466" s="3"/>
    </row>
    <row r="467" ht="15.75" customHeight="1">
      <c r="A467" s="3"/>
      <c r="B467" s="3"/>
      <c r="C467" s="3"/>
      <c r="D467" s="3"/>
      <c r="E467" s="3"/>
      <c r="F467" s="3"/>
    </row>
    <row r="468" ht="15.75" customHeight="1">
      <c r="A468" s="3"/>
      <c r="B468" s="3"/>
      <c r="C468" s="3"/>
      <c r="D468" s="3"/>
      <c r="E468" s="3"/>
      <c r="F468" s="3"/>
    </row>
    <row r="469" ht="15.75" customHeight="1">
      <c r="A469" s="3"/>
      <c r="B469" s="3"/>
      <c r="C469" s="3"/>
      <c r="D469" s="3"/>
      <c r="E469" s="3"/>
      <c r="F469" s="3"/>
    </row>
    <row r="470" ht="15.75" customHeight="1">
      <c r="A470" s="3"/>
      <c r="B470" s="3"/>
      <c r="C470" s="3"/>
      <c r="D470" s="3"/>
      <c r="E470" s="3"/>
      <c r="F470" s="3"/>
    </row>
    <row r="471" ht="15.75" customHeight="1">
      <c r="A471" s="3"/>
      <c r="B471" s="3"/>
      <c r="C471" s="3"/>
      <c r="D471" s="3"/>
      <c r="E471" s="3"/>
      <c r="F471" s="3"/>
    </row>
    <row r="472" ht="15.75" customHeight="1">
      <c r="A472" s="3"/>
      <c r="B472" s="3"/>
      <c r="C472" s="3"/>
      <c r="D472" s="3"/>
      <c r="E472" s="3"/>
      <c r="F472" s="3"/>
    </row>
    <row r="473" ht="15.75" customHeight="1">
      <c r="A473" s="3"/>
      <c r="B473" s="3"/>
      <c r="C473" s="3"/>
      <c r="D473" s="3"/>
      <c r="E473" s="3"/>
      <c r="F473" s="3"/>
    </row>
    <row r="474" ht="15.75" customHeight="1">
      <c r="A474" s="3"/>
      <c r="B474" s="3"/>
      <c r="C474" s="3"/>
      <c r="D474" s="3"/>
      <c r="E474" s="3"/>
      <c r="F474" s="3"/>
    </row>
    <row r="475" ht="15.75" customHeight="1">
      <c r="A475" s="3"/>
      <c r="B475" s="3"/>
      <c r="C475" s="3"/>
      <c r="D475" s="3"/>
      <c r="E475" s="3"/>
      <c r="F475" s="3"/>
    </row>
    <row r="476" ht="15.75" customHeight="1">
      <c r="A476" s="3"/>
      <c r="B476" s="3"/>
      <c r="C476" s="3"/>
      <c r="D476" s="3"/>
      <c r="E476" s="3"/>
      <c r="F476" s="3"/>
    </row>
    <row r="477" ht="15.75" customHeight="1">
      <c r="A477" s="3"/>
      <c r="B477" s="3"/>
      <c r="C477" s="3"/>
      <c r="D477" s="3"/>
      <c r="E477" s="3"/>
      <c r="F477" s="3"/>
    </row>
    <row r="478" ht="15.75" customHeight="1">
      <c r="A478" s="3"/>
      <c r="B478" s="3"/>
      <c r="C478" s="3"/>
      <c r="D478" s="3"/>
      <c r="E478" s="3"/>
      <c r="F478" s="3"/>
    </row>
    <row r="479" ht="15.75" customHeight="1">
      <c r="A479" s="3"/>
      <c r="B479" s="3"/>
      <c r="C479" s="3"/>
      <c r="D479" s="3"/>
      <c r="E479" s="3"/>
      <c r="F479" s="3"/>
    </row>
    <row r="480" ht="15.75" customHeight="1">
      <c r="A480" s="3"/>
      <c r="B480" s="3"/>
      <c r="C480" s="3"/>
      <c r="D480" s="3"/>
      <c r="E480" s="3"/>
      <c r="F480" s="3"/>
    </row>
    <row r="481" ht="15.75" customHeight="1">
      <c r="A481" s="3"/>
      <c r="B481" s="3"/>
      <c r="C481" s="3"/>
      <c r="D481" s="3"/>
      <c r="E481" s="3"/>
      <c r="F481" s="3"/>
    </row>
    <row r="482" ht="15.75" customHeight="1">
      <c r="A482" s="3"/>
      <c r="B482" s="3"/>
      <c r="C482" s="3"/>
      <c r="D482" s="3"/>
      <c r="E482" s="3"/>
      <c r="F482" s="3"/>
    </row>
    <row r="483" ht="15.75" customHeight="1">
      <c r="A483" s="3"/>
      <c r="B483" s="3"/>
      <c r="C483" s="3"/>
      <c r="D483" s="3"/>
      <c r="E483" s="3"/>
      <c r="F483" s="3"/>
    </row>
    <row r="484" ht="15.75" customHeight="1">
      <c r="A484" s="3"/>
      <c r="B484" s="3"/>
      <c r="C484" s="3"/>
      <c r="D484" s="3"/>
      <c r="E484" s="3"/>
      <c r="F484" s="3"/>
    </row>
    <row r="485" ht="15.75" customHeight="1">
      <c r="A485" s="3"/>
      <c r="B485" s="3"/>
      <c r="C485" s="3"/>
      <c r="D485" s="3"/>
      <c r="E485" s="3"/>
      <c r="F485" s="3"/>
    </row>
    <row r="486" ht="15.75" customHeight="1">
      <c r="A486" s="3"/>
      <c r="B486" s="3"/>
      <c r="C486" s="3"/>
      <c r="D486" s="3"/>
      <c r="E486" s="3"/>
      <c r="F486" s="3"/>
    </row>
    <row r="487" ht="15.75" customHeight="1">
      <c r="A487" s="3"/>
      <c r="B487" s="3"/>
      <c r="C487" s="3"/>
      <c r="D487" s="3"/>
      <c r="E487" s="3"/>
      <c r="F487" s="3"/>
    </row>
    <row r="488" ht="15.75" customHeight="1">
      <c r="A488" s="3"/>
      <c r="B488" s="3"/>
      <c r="C488" s="3"/>
      <c r="D488" s="3"/>
      <c r="E488" s="3"/>
      <c r="F488" s="3"/>
    </row>
    <row r="489" ht="15.75" customHeight="1">
      <c r="A489" s="3"/>
      <c r="B489" s="3"/>
      <c r="C489" s="3"/>
      <c r="D489" s="3"/>
      <c r="E489" s="3"/>
      <c r="F489" s="3"/>
    </row>
    <row r="490" ht="15.75" customHeight="1">
      <c r="A490" s="3"/>
      <c r="B490" s="3"/>
      <c r="C490" s="3"/>
      <c r="D490" s="3"/>
      <c r="E490" s="3"/>
      <c r="F490" s="3"/>
    </row>
    <row r="491" ht="15.75" customHeight="1">
      <c r="A491" s="3"/>
      <c r="B491" s="3"/>
      <c r="C491" s="3"/>
      <c r="D491" s="3"/>
      <c r="E491" s="3"/>
      <c r="F491" s="3"/>
    </row>
    <row r="492" ht="15.75" customHeight="1">
      <c r="A492" s="3"/>
      <c r="B492" s="3"/>
      <c r="C492" s="3"/>
      <c r="D492" s="3"/>
      <c r="E492" s="3"/>
      <c r="F492" s="3"/>
    </row>
    <row r="493" ht="15.75" customHeight="1">
      <c r="A493" s="3"/>
      <c r="B493" s="3"/>
      <c r="C493" s="3"/>
      <c r="D493" s="3"/>
      <c r="E493" s="3"/>
      <c r="F493" s="3"/>
    </row>
    <row r="494" ht="15.75" customHeight="1">
      <c r="A494" s="3"/>
      <c r="B494" s="3"/>
      <c r="C494" s="3"/>
      <c r="D494" s="3"/>
      <c r="E494" s="3"/>
      <c r="F494" s="3"/>
    </row>
    <row r="495" ht="15.75" customHeight="1">
      <c r="A495" s="3"/>
      <c r="B495" s="3"/>
      <c r="C495" s="3"/>
      <c r="D495" s="3"/>
      <c r="E495" s="3"/>
      <c r="F495" s="3"/>
    </row>
    <row r="496" ht="15.75" customHeight="1">
      <c r="A496" s="3"/>
      <c r="B496" s="3"/>
      <c r="C496" s="3"/>
      <c r="D496" s="3"/>
      <c r="E496" s="3"/>
      <c r="F496" s="3"/>
    </row>
    <row r="497" ht="15.75" customHeight="1">
      <c r="A497" s="3"/>
      <c r="B497" s="3"/>
      <c r="C497" s="3"/>
      <c r="D497" s="3"/>
      <c r="E497" s="3"/>
      <c r="F497" s="3"/>
    </row>
    <row r="498" ht="15.75" customHeight="1">
      <c r="A498" s="3"/>
      <c r="B498" s="3"/>
      <c r="C498" s="3"/>
      <c r="D498" s="3"/>
      <c r="E498" s="3"/>
      <c r="F498" s="3"/>
    </row>
    <row r="499" ht="15.75" customHeight="1">
      <c r="A499" s="3"/>
      <c r="B499" s="3"/>
      <c r="C499" s="3"/>
      <c r="D499" s="3"/>
      <c r="E499" s="3"/>
      <c r="F499" s="3"/>
    </row>
    <row r="500" ht="15.75" customHeight="1">
      <c r="A500" s="3"/>
      <c r="B500" s="3"/>
      <c r="C500" s="3"/>
      <c r="D500" s="3"/>
      <c r="E500" s="3"/>
      <c r="F500" s="3"/>
    </row>
    <row r="501" ht="15.75" customHeight="1">
      <c r="A501" s="3"/>
      <c r="B501" s="3"/>
      <c r="C501" s="3"/>
      <c r="D501" s="3"/>
      <c r="E501" s="3"/>
      <c r="F501" s="3"/>
    </row>
    <row r="502" ht="15.75" customHeight="1">
      <c r="A502" s="3"/>
      <c r="B502" s="3"/>
      <c r="C502" s="3"/>
      <c r="D502" s="3"/>
      <c r="E502" s="3"/>
      <c r="F502" s="3"/>
    </row>
    <row r="503" ht="15.75" customHeight="1">
      <c r="A503" s="3"/>
      <c r="B503" s="3"/>
      <c r="C503" s="3"/>
      <c r="D503" s="3"/>
      <c r="E503" s="3"/>
      <c r="F503" s="3"/>
    </row>
    <row r="504" ht="15.75" customHeight="1">
      <c r="A504" s="3"/>
      <c r="B504" s="3"/>
      <c r="C504" s="3"/>
      <c r="D504" s="3"/>
      <c r="E504" s="3"/>
      <c r="F504" s="3"/>
    </row>
    <row r="505" ht="15.75" customHeight="1">
      <c r="A505" s="3"/>
      <c r="B505" s="3"/>
      <c r="C505" s="3"/>
      <c r="D505" s="3"/>
      <c r="E505" s="3"/>
      <c r="F505" s="3"/>
    </row>
    <row r="506" ht="15.75" customHeight="1">
      <c r="A506" s="3"/>
      <c r="B506" s="3"/>
      <c r="C506" s="3"/>
      <c r="D506" s="3"/>
      <c r="E506" s="3"/>
      <c r="F506" s="3"/>
    </row>
    <row r="507" ht="15.75" customHeight="1">
      <c r="A507" s="3"/>
      <c r="B507" s="3"/>
      <c r="C507" s="3"/>
      <c r="D507" s="3"/>
      <c r="E507" s="3"/>
      <c r="F507" s="3"/>
    </row>
    <row r="508" ht="15.75" customHeight="1">
      <c r="A508" s="3"/>
      <c r="B508" s="3"/>
      <c r="C508" s="3"/>
      <c r="D508" s="3"/>
      <c r="E508" s="3"/>
      <c r="F508" s="3"/>
    </row>
    <row r="509" ht="15.75" customHeight="1">
      <c r="A509" s="3"/>
      <c r="B509" s="3"/>
      <c r="C509" s="3"/>
      <c r="D509" s="3"/>
      <c r="E509" s="3"/>
      <c r="F509" s="3"/>
    </row>
    <row r="510" ht="15.75" customHeight="1">
      <c r="A510" s="3"/>
      <c r="B510" s="3"/>
      <c r="C510" s="3"/>
      <c r="D510" s="3"/>
      <c r="E510" s="3"/>
      <c r="F510" s="3"/>
    </row>
    <row r="511" ht="15.75" customHeight="1">
      <c r="A511" s="3"/>
      <c r="B511" s="3"/>
      <c r="C511" s="3"/>
      <c r="D511" s="3"/>
      <c r="E511" s="3"/>
      <c r="F511" s="3"/>
    </row>
    <row r="512" ht="15.75" customHeight="1">
      <c r="A512" s="3"/>
      <c r="B512" s="3"/>
      <c r="C512" s="3"/>
      <c r="D512" s="3"/>
      <c r="E512" s="3"/>
      <c r="F512" s="3"/>
    </row>
    <row r="513" ht="15.75" customHeight="1">
      <c r="A513" s="3"/>
      <c r="B513" s="3"/>
      <c r="C513" s="3"/>
      <c r="D513" s="3"/>
      <c r="E513" s="3"/>
      <c r="F513" s="3"/>
    </row>
    <row r="514" ht="15.75" customHeight="1">
      <c r="A514" s="3"/>
      <c r="B514" s="3"/>
      <c r="C514" s="3"/>
      <c r="D514" s="3"/>
      <c r="E514" s="3"/>
      <c r="F514" s="3"/>
    </row>
    <row r="515" ht="15.75" customHeight="1">
      <c r="A515" s="3"/>
      <c r="B515" s="3"/>
      <c r="C515" s="3"/>
      <c r="D515" s="3"/>
      <c r="E515" s="3"/>
      <c r="F515" s="3"/>
    </row>
    <row r="516" ht="15.75" customHeight="1">
      <c r="A516" s="3"/>
      <c r="B516" s="3"/>
      <c r="C516" s="3"/>
      <c r="D516" s="3"/>
      <c r="E516" s="3"/>
      <c r="F516" s="3"/>
    </row>
    <row r="517" ht="15.75" customHeight="1">
      <c r="A517" s="3"/>
      <c r="B517" s="3"/>
      <c r="C517" s="3"/>
      <c r="D517" s="3"/>
      <c r="E517" s="3"/>
      <c r="F517" s="3"/>
    </row>
    <row r="518" ht="15.75" customHeight="1">
      <c r="A518" s="3"/>
      <c r="B518" s="3"/>
      <c r="C518" s="3"/>
      <c r="D518" s="3"/>
      <c r="E518" s="3"/>
      <c r="F518" s="3"/>
    </row>
    <row r="519" ht="15.75" customHeight="1">
      <c r="A519" s="3"/>
      <c r="B519" s="3"/>
      <c r="C519" s="3"/>
      <c r="D519" s="3"/>
      <c r="E519" s="3"/>
      <c r="F519" s="3"/>
    </row>
    <row r="520" ht="15.75" customHeight="1">
      <c r="A520" s="3"/>
      <c r="B520" s="3"/>
      <c r="C520" s="3"/>
      <c r="D520" s="3"/>
      <c r="E520" s="3"/>
      <c r="F520" s="3"/>
    </row>
    <row r="521" ht="15.75" customHeight="1">
      <c r="A521" s="3"/>
      <c r="B521" s="3"/>
      <c r="C521" s="3"/>
      <c r="D521" s="3"/>
      <c r="E521" s="3"/>
      <c r="F521" s="3"/>
    </row>
    <row r="522" ht="15.75" customHeight="1">
      <c r="A522" s="3"/>
      <c r="B522" s="3"/>
      <c r="C522" s="3"/>
      <c r="D522" s="3"/>
      <c r="E522" s="3"/>
      <c r="F522" s="3"/>
    </row>
    <row r="523" ht="15.75" customHeight="1">
      <c r="A523" s="3"/>
      <c r="B523" s="3"/>
      <c r="C523" s="3"/>
      <c r="D523" s="3"/>
      <c r="E523" s="3"/>
      <c r="F523" s="3"/>
    </row>
    <row r="524" ht="15.75" customHeight="1">
      <c r="A524" s="3"/>
      <c r="B524" s="3"/>
      <c r="C524" s="3"/>
      <c r="D524" s="3"/>
      <c r="E524" s="3"/>
      <c r="F524" s="3"/>
    </row>
    <row r="525" ht="15.75" customHeight="1">
      <c r="A525" s="3"/>
      <c r="B525" s="3"/>
      <c r="C525" s="3"/>
      <c r="D525" s="3"/>
      <c r="E525" s="3"/>
      <c r="F525" s="3"/>
    </row>
    <row r="526" ht="15.75" customHeight="1">
      <c r="A526" s="3"/>
      <c r="B526" s="3"/>
      <c r="C526" s="3"/>
      <c r="D526" s="3"/>
      <c r="E526" s="3"/>
      <c r="F526" s="3"/>
    </row>
    <row r="527" ht="15.75" customHeight="1">
      <c r="A527" s="3"/>
      <c r="B527" s="3"/>
      <c r="C527" s="3"/>
      <c r="D527" s="3"/>
      <c r="E527" s="3"/>
      <c r="F527" s="3"/>
    </row>
    <row r="528" ht="15.75" customHeight="1">
      <c r="A528" s="3"/>
      <c r="B528" s="3"/>
      <c r="C528" s="3"/>
      <c r="D528" s="3"/>
      <c r="E528" s="3"/>
      <c r="F528" s="3"/>
    </row>
    <row r="529" ht="15.75" customHeight="1">
      <c r="A529" s="3"/>
      <c r="B529" s="3"/>
      <c r="C529" s="3"/>
      <c r="D529" s="3"/>
      <c r="E529" s="3"/>
      <c r="F529" s="3"/>
    </row>
    <row r="530" ht="15.75" customHeight="1">
      <c r="A530" s="3"/>
      <c r="B530" s="3"/>
      <c r="C530" s="3"/>
      <c r="D530" s="3"/>
      <c r="E530" s="3"/>
      <c r="F530" s="3"/>
    </row>
    <row r="531" ht="15.75" customHeight="1">
      <c r="A531" s="3"/>
      <c r="B531" s="3"/>
      <c r="C531" s="3"/>
      <c r="D531" s="3"/>
      <c r="E531" s="3"/>
      <c r="F531" s="3"/>
    </row>
    <row r="532" ht="15.75" customHeight="1">
      <c r="A532" s="3"/>
      <c r="B532" s="3"/>
      <c r="C532" s="3"/>
      <c r="D532" s="3"/>
      <c r="E532" s="3"/>
      <c r="F532" s="3"/>
    </row>
    <row r="533" ht="15.75" customHeight="1">
      <c r="A533" s="3"/>
      <c r="B533" s="3"/>
      <c r="C533" s="3"/>
      <c r="D533" s="3"/>
      <c r="E533" s="3"/>
      <c r="F533" s="3"/>
    </row>
    <row r="534" ht="15.75" customHeight="1">
      <c r="A534" s="3"/>
      <c r="B534" s="3"/>
      <c r="C534" s="3"/>
      <c r="D534" s="3"/>
      <c r="E534" s="3"/>
      <c r="F534" s="3"/>
    </row>
    <row r="535" ht="15.75" customHeight="1">
      <c r="A535" s="3"/>
      <c r="B535" s="3"/>
      <c r="C535" s="3"/>
      <c r="D535" s="3"/>
      <c r="E535" s="3"/>
      <c r="F535" s="3"/>
    </row>
    <row r="536" ht="15.75" customHeight="1">
      <c r="A536" s="3"/>
      <c r="B536" s="3"/>
      <c r="C536" s="3"/>
      <c r="D536" s="3"/>
      <c r="E536" s="3"/>
      <c r="F536" s="3"/>
    </row>
    <row r="537" ht="15.75" customHeight="1">
      <c r="A537" s="3"/>
      <c r="B537" s="3"/>
      <c r="C537" s="3"/>
      <c r="D537" s="3"/>
      <c r="E537" s="3"/>
      <c r="F537" s="3"/>
    </row>
    <row r="538" ht="15.75" customHeight="1">
      <c r="A538" s="3"/>
      <c r="B538" s="3"/>
      <c r="C538" s="3"/>
      <c r="D538" s="3"/>
      <c r="E538" s="3"/>
      <c r="F538" s="3"/>
    </row>
    <row r="539" ht="15.75" customHeight="1">
      <c r="A539" s="3"/>
      <c r="B539" s="3"/>
      <c r="C539" s="3"/>
      <c r="D539" s="3"/>
      <c r="E539" s="3"/>
      <c r="F539" s="3"/>
    </row>
    <row r="540" ht="15.75" customHeight="1">
      <c r="A540" s="3"/>
      <c r="B540" s="3"/>
      <c r="C540" s="3"/>
      <c r="D540" s="3"/>
      <c r="E540" s="3"/>
      <c r="F540" s="3"/>
    </row>
    <row r="541" ht="15.75" customHeight="1">
      <c r="A541" s="3"/>
      <c r="B541" s="3"/>
      <c r="C541" s="3"/>
      <c r="D541" s="3"/>
      <c r="E541" s="3"/>
      <c r="F541" s="3"/>
    </row>
    <row r="542" ht="15.75" customHeight="1">
      <c r="A542" s="3"/>
      <c r="B542" s="3"/>
      <c r="C542" s="3"/>
      <c r="D542" s="3"/>
      <c r="E542" s="3"/>
      <c r="F542" s="3"/>
    </row>
    <row r="543" ht="15.75" customHeight="1">
      <c r="A543" s="3"/>
      <c r="B543" s="3"/>
      <c r="C543" s="3"/>
      <c r="D543" s="3"/>
      <c r="E543" s="3"/>
      <c r="F543" s="3"/>
    </row>
    <row r="544" ht="15.75" customHeight="1">
      <c r="A544" s="3"/>
      <c r="B544" s="3"/>
      <c r="C544" s="3"/>
      <c r="D544" s="3"/>
      <c r="E544" s="3"/>
      <c r="F544" s="3"/>
    </row>
    <row r="545" ht="15.75" customHeight="1">
      <c r="A545" s="3"/>
      <c r="B545" s="3"/>
      <c r="C545" s="3"/>
      <c r="D545" s="3"/>
      <c r="E545" s="3"/>
      <c r="F545" s="3"/>
    </row>
    <row r="546" ht="15.75" customHeight="1">
      <c r="A546" s="3"/>
      <c r="B546" s="3"/>
      <c r="C546" s="3"/>
      <c r="D546" s="3"/>
      <c r="E546" s="3"/>
      <c r="F546" s="3"/>
    </row>
    <row r="547" ht="15.75" customHeight="1">
      <c r="A547" s="3"/>
      <c r="B547" s="3"/>
      <c r="C547" s="3"/>
      <c r="D547" s="3"/>
      <c r="E547" s="3"/>
      <c r="F547" s="3"/>
    </row>
    <row r="548" ht="15.75" customHeight="1">
      <c r="A548" s="3"/>
      <c r="B548" s="3"/>
      <c r="C548" s="3"/>
      <c r="D548" s="3"/>
      <c r="E548" s="3"/>
      <c r="F548" s="3"/>
    </row>
    <row r="549" ht="15.75" customHeight="1">
      <c r="A549" s="3"/>
      <c r="B549" s="3"/>
      <c r="C549" s="3"/>
      <c r="D549" s="3"/>
      <c r="E549" s="3"/>
      <c r="F549" s="3"/>
    </row>
    <row r="550" ht="15.75" customHeight="1">
      <c r="A550" s="3"/>
      <c r="B550" s="3"/>
      <c r="C550" s="3"/>
      <c r="D550" s="3"/>
      <c r="E550" s="3"/>
      <c r="F550" s="3"/>
    </row>
    <row r="551" ht="15.75" customHeight="1">
      <c r="A551" s="3"/>
      <c r="B551" s="3"/>
      <c r="C551" s="3"/>
      <c r="D551" s="3"/>
      <c r="E551" s="3"/>
      <c r="F551" s="3"/>
    </row>
    <row r="552" ht="15.75" customHeight="1">
      <c r="A552" s="3"/>
      <c r="B552" s="3"/>
      <c r="C552" s="3"/>
      <c r="D552" s="3"/>
      <c r="E552" s="3"/>
      <c r="F552" s="3"/>
    </row>
    <row r="553" ht="15.75" customHeight="1">
      <c r="A553" s="3"/>
      <c r="B553" s="3"/>
      <c r="C553" s="3"/>
      <c r="D553" s="3"/>
      <c r="E553" s="3"/>
      <c r="F553" s="3"/>
    </row>
    <row r="554" ht="15.75" customHeight="1">
      <c r="A554" s="3"/>
      <c r="B554" s="3"/>
      <c r="C554" s="3"/>
      <c r="D554" s="3"/>
      <c r="E554" s="3"/>
      <c r="F554" s="3"/>
    </row>
    <row r="555" ht="15.75" customHeight="1">
      <c r="A555" s="3"/>
      <c r="B555" s="3"/>
      <c r="C555" s="3"/>
      <c r="D555" s="3"/>
      <c r="E555" s="3"/>
      <c r="F555" s="3"/>
    </row>
    <row r="556" ht="15.75" customHeight="1">
      <c r="A556" s="3"/>
      <c r="B556" s="3"/>
      <c r="C556" s="3"/>
      <c r="D556" s="3"/>
      <c r="E556" s="3"/>
      <c r="F556" s="3"/>
    </row>
    <row r="557" ht="15.75" customHeight="1">
      <c r="A557" s="3"/>
      <c r="B557" s="3"/>
      <c r="C557" s="3"/>
      <c r="D557" s="3"/>
      <c r="E557" s="3"/>
      <c r="F557" s="3"/>
    </row>
    <row r="558" ht="15.75" customHeight="1">
      <c r="A558" s="3"/>
      <c r="B558" s="3"/>
      <c r="C558" s="3"/>
      <c r="D558" s="3"/>
      <c r="E558" s="3"/>
      <c r="F558" s="3"/>
    </row>
    <row r="559" ht="15.75" customHeight="1">
      <c r="A559" s="3"/>
      <c r="B559" s="3"/>
      <c r="C559" s="3"/>
      <c r="D559" s="3"/>
      <c r="E559" s="3"/>
      <c r="F559" s="3"/>
    </row>
    <row r="560" ht="15.75" customHeight="1">
      <c r="A560" s="3"/>
      <c r="B560" s="3"/>
      <c r="C560" s="3"/>
      <c r="D560" s="3"/>
      <c r="E560" s="3"/>
      <c r="F560" s="3"/>
    </row>
    <row r="561" ht="15.75" customHeight="1">
      <c r="A561" s="3"/>
      <c r="B561" s="3"/>
      <c r="C561" s="3"/>
      <c r="D561" s="3"/>
      <c r="E561" s="3"/>
      <c r="F561" s="3"/>
    </row>
    <row r="562" ht="15.75" customHeight="1">
      <c r="A562" s="3"/>
      <c r="B562" s="3"/>
      <c r="C562" s="3"/>
      <c r="D562" s="3"/>
      <c r="E562" s="3"/>
      <c r="F562" s="3"/>
    </row>
    <row r="563" ht="15.75" customHeight="1">
      <c r="A563" s="3"/>
      <c r="B563" s="3"/>
      <c r="C563" s="3"/>
      <c r="D563" s="3"/>
      <c r="E563" s="3"/>
      <c r="F563" s="3"/>
    </row>
    <row r="564" ht="15.75" customHeight="1">
      <c r="A564" s="3"/>
      <c r="B564" s="3"/>
      <c r="C564" s="3"/>
      <c r="D564" s="3"/>
      <c r="E564" s="3"/>
      <c r="F564" s="3"/>
    </row>
    <row r="565" ht="15.75" customHeight="1">
      <c r="A565" s="3"/>
      <c r="B565" s="3"/>
      <c r="C565" s="3"/>
      <c r="D565" s="3"/>
      <c r="E565" s="3"/>
      <c r="F565" s="3"/>
    </row>
    <row r="566" ht="15.75" customHeight="1">
      <c r="A566" s="3"/>
      <c r="B566" s="3"/>
      <c r="C566" s="3"/>
      <c r="D566" s="3"/>
      <c r="E566" s="3"/>
      <c r="F566" s="3"/>
    </row>
    <row r="567" ht="15.75" customHeight="1">
      <c r="A567" s="3"/>
      <c r="B567" s="3"/>
      <c r="C567" s="3"/>
      <c r="D567" s="3"/>
      <c r="E567" s="3"/>
      <c r="F567" s="3"/>
    </row>
    <row r="568" ht="15.75" customHeight="1">
      <c r="A568" s="3"/>
      <c r="B568" s="3"/>
      <c r="C568" s="3"/>
      <c r="D568" s="3"/>
      <c r="E568" s="3"/>
      <c r="F568" s="3"/>
    </row>
    <row r="569" ht="15.75" customHeight="1">
      <c r="A569" s="3"/>
      <c r="B569" s="3"/>
      <c r="C569" s="3"/>
      <c r="D569" s="3"/>
      <c r="E569" s="3"/>
      <c r="F569" s="3"/>
    </row>
    <row r="570" ht="15.75" customHeight="1">
      <c r="A570" s="3"/>
      <c r="B570" s="3"/>
      <c r="C570" s="3"/>
      <c r="D570" s="3"/>
      <c r="E570" s="3"/>
      <c r="F570" s="3"/>
    </row>
    <row r="571" ht="15.75" customHeight="1">
      <c r="A571" s="3"/>
      <c r="B571" s="3"/>
      <c r="C571" s="3"/>
      <c r="D571" s="3"/>
      <c r="E571" s="3"/>
      <c r="F571" s="3"/>
    </row>
    <row r="572" ht="15.75" customHeight="1">
      <c r="A572" s="3"/>
      <c r="B572" s="3"/>
      <c r="C572" s="3"/>
      <c r="D572" s="3"/>
      <c r="E572" s="3"/>
      <c r="F572" s="3"/>
    </row>
    <row r="573" ht="15.75" customHeight="1">
      <c r="A573" s="3"/>
      <c r="B573" s="3"/>
      <c r="C573" s="3"/>
      <c r="D573" s="3"/>
      <c r="E573" s="3"/>
      <c r="F573" s="3"/>
    </row>
    <row r="574" ht="15.75" customHeight="1">
      <c r="A574" s="3"/>
      <c r="B574" s="3"/>
      <c r="C574" s="3"/>
      <c r="D574" s="3"/>
      <c r="E574" s="3"/>
      <c r="F574" s="3"/>
    </row>
    <row r="575" ht="15.75" customHeight="1">
      <c r="A575" s="3"/>
      <c r="B575" s="3"/>
      <c r="C575" s="3"/>
      <c r="D575" s="3"/>
      <c r="E575" s="3"/>
      <c r="F575" s="3"/>
    </row>
    <row r="576" ht="15.75" customHeight="1">
      <c r="A576" s="3"/>
      <c r="B576" s="3"/>
      <c r="C576" s="3"/>
      <c r="D576" s="3"/>
      <c r="E576" s="3"/>
      <c r="F576" s="3"/>
    </row>
    <row r="577" ht="15.75" customHeight="1">
      <c r="A577" s="3"/>
      <c r="B577" s="3"/>
      <c r="C577" s="3"/>
      <c r="D577" s="3"/>
      <c r="E577" s="3"/>
      <c r="F577" s="3"/>
    </row>
    <row r="578" ht="15.75" customHeight="1">
      <c r="A578" s="3"/>
      <c r="B578" s="3"/>
      <c r="C578" s="3"/>
      <c r="D578" s="3"/>
      <c r="E578" s="3"/>
      <c r="F578" s="3"/>
    </row>
    <row r="579" ht="15.75" customHeight="1">
      <c r="A579" s="3"/>
      <c r="B579" s="3"/>
      <c r="C579" s="3"/>
      <c r="D579" s="3"/>
      <c r="E579" s="3"/>
      <c r="F579" s="3"/>
    </row>
    <row r="580" ht="15.75" customHeight="1">
      <c r="A580" s="3"/>
      <c r="B580" s="3"/>
      <c r="C580" s="3"/>
      <c r="D580" s="3"/>
      <c r="E580" s="3"/>
      <c r="F580" s="3"/>
    </row>
    <row r="581" ht="15.75" customHeight="1">
      <c r="A581" s="3"/>
      <c r="B581" s="3"/>
      <c r="C581" s="3"/>
      <c r="D581" s="3"/>
      <c r="E581" s="3"/>
      <c r="F581" s="3"/>
    </row>
    <row r="582" ht="15.75" customHeight="1">
      <c r="A582" s="3"/>
      <c r="B582" s="3"/>
      <c r="C582" s="3"/>
      <c r="D582" s="3"/>
      <c r="E582" s="3"/>
      <c r="F582" s="3"/>
    </row>
    <row r="583" ht="15.75" customHeight="1">
      <c r="A583" s="3"/>
      <c r="B583" s="3"/>
      <c r="C583" s="3"/>
      <c r="D583" s="3"/>
      <c r="E583" s="3"/>
      <c r="F583" s="3"/>
    </row>
    <row r="584" ht="15.75" customHeight="1">
      <c r="A584" s="3"/>
      <c r="B584" s="3"/>
      <c r="C584" s="3"/>
      <c r="D584" s="3"/>
      <c r="E584" s="3"/>
      <c r="F584" s="3"/>
    </row>
    <row r="585" ht="15.75" customHeight="1">
      <c r="A585" s="3"/>
      <c r="B585" s="3"/>
      <c r="C585" s="3"/>
      <c r="D585" s="3"/>
      <c r="E585" s="3"/>
      <c r="F585" s="3"/>
    </row>
    <row r="586" ht="15.75" customHeight="1">
      <c r="A586" s="3"/>
      <c r="B586" s="3"/>
      <c r="C586" s="3"/>
      <c r="D586" s="3"/>
      <c r="E586" s="3"/>
      <c r="F586" s="3"/>
    </row>
    <row r="587" ht="15.75" customHeight="1">
      <c r="A587" s="3"/>
      <c r="B587" s="3"/>
      <c r="C587" s="3"/>
      <c r="D587" s="3"/>
      <c r="E587" s="3"/>
      <c r="F587" s="3"/>
    </row>
    <row r="588" ht="15.75" customHeight="1">
      <c r="A588" s="3"/>
      <c r="B588" s="3"/>
      <c r="C588" s="3"/>
      <c r="D588" s="3"/>
      <c r="E588" s="3"/>
      <c r="F588" s="3"/>
    </row>
    <row r="589" ht="15.75" customHeight="1">
      <c r="A589" s="3"/>
      <c r="B589" s="3"/>
      <c r="C589" s="3"/>
      <c r="D589" s="3"/>
      <c r="E589" s="3"/>
      <c r="F589" s="3"/>
    </row>
    <row r="590" ht="15.75" customHeight="1">
      <c r="A590" s="3"/>
      <c r="B590" s="3"/>
      <c r="C590" s="3"/>
      <c r="D590" s="3"/>
      <c r="E590" s="3"/>
      <c r="F590" s="3"/>
    </row>
    <row r="591" ht="15.75" customHeight="1">
      <c r="A591" s="3"/>
      <c r="B591" s="3"/>
      <c r="C591" s="3"/>
      <c r="D591" s="3"/>
      <c r="E591" s="3"/>
      <c r="F591" s="3"/>
    </row>
    <row r="592" ht="15.75" customHeight="1">
      <c r="A592" s="3"/>
      <c r="B592" s="3"/>
      <c r="C592" s="3"/>
      <c r="D592" s="3"/>
      <c r="E592" s="3"/>
      <c r="F592" s="3"/>
    </row>
    <row r="593" ht="15.75" customHeight="1">
      <c r="A593" s="3"/>
      <c r="B593" s="3"/>
      <c r="C593" s="3"/>
      <c r="D593" s="3"/>
      <c r="E593" s="3"/>
      <c r="F593" s="3"/>
    </row>
    <row r="594" ht="15.75" customHeight="1">
      <c r="A594" s="3"/>
      <c r="B594" s="3"/>
      <c r="C594" s="3"/>
      <c r="D594" s="3"/>
      <c r="E594" s="3"/>
      <c r="F594" s="3"/>
    </row>
    <row r="595" ht="15.75" customHeight="1">
      <c r="A595" s="3"/>
      <c r="B595" s="3"/>
      <c r="C595" s="3"/>
      <c r="D595" s="3"/>
      <c r="E595" s="3"/>
      <c r="F595" s="3"/>
    </row>
    <row r="596" ht="15.75" customHeight="1">
      <c r="A596" s="3"/>
      <c r="B596" s="3"/>
      <c r="C596" s="3"/>
      <c r="D596" s="3"/>
      <c r="E596" s="3"/>
      <c r="F596" s="3"/>
    </row>
    <row r="597" ht="15.75" customHeight="1">
      <c r="A597" s="3"/>
      <c r="B597" s="3"/>
      <c r="C597" s="3"/>
      <c r="D597" s="3"/>
      <c r="E597" s="3"/>
      <c r="F597" s="3"/>
    </row>
    <row r="598" ht="15.75" customHeight="1">
      <c r="A598" s="3"/>
      <c r="B598" s="3"/>
      <c r="C598" s="3"/>
      <c r="D598" s="3"/>
      <c r="E598" s="3"/>
      <c r="F598" s="3"/>
    </row>
    <row r="599" ht="15.75" customHeight="1">
      <c r="A599" s="3"/>
      <c r="B599" s="3"/>
      <c r="C599" s="3"/>
      <c r="D599" s="3"/>
      <c r="E599" s="3"/>
      <c r="F599" s="3"/>
    </row>
    <row r="600" ht="15.75" customHeight="1">
      <c r="A600" s="3"/>
      <c r="B600" s="3"/>
      <c r="C600" s="3"/>
      <c r="D600" s="3"/>
      <c r="E600" s="3"/>
      <c r="F600" s="3"/>
    </row>
    <row r="601" ht="15.75" customHeight="1">
      <c r="A601" s="3"/>
      <c r="B601" s="3"/>
      <c r="C601" s="3"/>
      <c r="D601" s="3"/>
      <c r="E601" s="3"/>
      <c r="F601" s="3"/>
    </row>
    <row r="602" ht="15.75" customHeight="1">
      <c r="A602" s="3"/>
      <c r="B602" s="3"/>
      <c r="C602" s="3"/>
      <c r="D602" s="3"/>
      <c r="E602" s="3"/>
      <c r="F602" s="3"/>
    </row>
    <row r="603" ht="15.75" customHeight="1">
      <c r="A603" s="3"/>
      <c r="B603" s="3"/>
      <c r="C603" s="3"/>
      <c r="D603" s="3"/>
      <c r="E603" s="3"/>
      <c r="F603" s="3"/>
    </row>
    <row r="604" ht="15.75" customHeight="1">
      <c r="A604" s="3"/>
      <c r="B604" s="3"/>
      <c r="C604" s="3"/>
      <c r="D604" s="3"/>
      <c r="E604" s="3"/>
      <c r="F604" s="3"/>
    </row>
    <row r="605" ht="15.75" customHeight="1">
      <c r="A605" s="3"/>
      <c r="B605" s="3"/>
      <c r="C605" s="3"/>
      <c r="D605" s="3"/>
      <c r="E605" s="3"/>
      <c r="F605" s="3"/>
    </row>
    <row r="606" ht="15.75" customHeight="1">
      <c r="A606" s="3"/>
      <c r="B606" s="3"/>
      <c r="C606" s="3"/>
      <c r="D606" s="3"/>
      <c r="E606" s="3"/>
      <c r="F606" s="3"/>
    </row>
    <row r="607" ht="15.75" customHeight="1">
      <c r="A607" s="3"/>
      <c r="B607" s="3"/>
      <c r="C607" s="3"/>
      <c r="D607" s="3"/>
      <c r="E607" s="3"/>
      <c r="F607" s="3"/>
    </row>
    <row r="608" ht="15.75" customHeight="1">
      <c r="A608" s="3"/>
      <c r="B608" s="3"/>
      <c r="C608" s="3"/>
      <c r="D608" s="3"/>
      <c r="E608" s="3"/>
      <c r="F608" s="3"/>
    </row>
    <row r="609" ht="15.75" customHeight="1">
      <c r="A609" s="3"/>
      <c r="B609" s="3"/>
      <c r="C609" s="3"/>
      <c r="D609" s="3"/>
      <c r="E609" s="3"/>
      <c r="F609" s="3"/>
    </row>
    <row r="610" ht="15.75" customHeight="1">
      <c r="A610" s="3"/>
      <c r="B610" s="3"/>
      <c r="C610" s="3"/>
      <c r="D610" s="3"/>
      <c r="E610" s="3"/>
      <c r="F610" s="3"/>
    </row>
    <row r="611" ht="15.75" customHeight="1">
      <c r="A611" s="3"/>
      <c r="B611" s="3"/>
      <c r="C611" s="3"/>
      <c r="D611" s="3"/>
      <c r="E611" s="3"/>
      <c r="F611" s="3"/>
    </row>
    <row r="612" ht="15.75" customHeight="1">
      <c r="A612" s="3"/>
      <c r="B612" s="3"/>
      <c r="C612" s="3"/>
      <c r="D612" s="3"/>
      <c r="E612" s="3"/>
      <c r="F612" s="3"/>
    </row>
    <row r="613" ht="15.75" customHeight="1">
      <c r="A613" s="3"/>
      <c r="B613" s="3"/>
      <c r="C613" s="3"/>
      <c r="D613" s="3"/>
      <c r="E613" s="3"/>
      <c r="F613" s="3"/>
    </row>
    <row r="614" ht="15.75" customHeight="1">
      <c r="A614" s="3"/>
      <c r="B614" s="3"/>
      <c r="C614" s="3"/>
      <c r="D614" s="3"/>
      <c r="E614" s="3"/>
      <c r="F614" s="3"/>
    </row>
    <row r="615" ht="15.75" customHeight="1">
      <c r="A615" s="3"/>
      <c r="B615" s="3"/>
      <c r="C615" s="3"/>
      <c r="D615" s="3"/>
      <c r="E615" s="3"/>
      <c r="F615" s="3"/>
    </row>
    <row r="616" ht="15.75" customHeight="1">
      <c r="A616" s="3"/>
      <c r="B616" s="3"/>
      <c r="C616" s="3"/>
      <c r="D616" s="3"/>
      <c r="E616" s="3"/>
      <c r="F616" s="3"/>
    </row>
    <row r="617" ht="15.75" customHeight="1">
      <c r="A617" s="3"/>
      <c r="B617" s="3"/>
      <c r="C617" s="3"/>
      <c r="D617" s="3"/>
      <c r="E617" s="3"/>
      <c r="F617" s="3"/>
    </row>
    <row r="618" ht="15.75" customHeight="1">
      <c r="A618" s="3"/>
      <c r="B618" s="3"/>
      <c r="C618" s="3"/>
      <c r="D618" s="3"/>
      <c r="E618" s="3"/>
      <c r="F618" s="3"/>
    </row>
    <row r="619" ht="15.75" customHeight="1">
      <c r="A619" s="3"/>
      <c r="B619" s="3"/>
      <c r="C619" s="3"/>
      <c r="D619" s="3"/>
      <c r="E619" s="3"/>
      <c r="F619" s="3"/>
    </row>
    <row r="620" ht="15.75" customHeight="1">
      <c r="A620" s="3"/>
      <c r="B620" s="3"/>
      <c r="C620" s="3"/>
      <c r="D620" s="3"/>
      <c r="E620" s="3"/>
      <c r="F620" s="3"/>
    </row>
    <row r="621" ht="15.75" customHeight="1">
      <c r="A621" s="3"/>
      <c r="B621" s="3"/>
      <c r="C621" s="3"/>
      <c r="D621" s="3"/>
      <c r="E621" s="3"/>
      <c r="F621" s="3"/>
    </row>
    <row r="622" ht="15.75" customHeight="1">
      <c r="A622" s="3"/>
      <c r="B622" s="3"/>
      <c r="C622" s="3"/>
      <c r="D622" s="3"/>
      <c r="E622" s="3"/>
      <c r="F622" s="3"/>
    </row>
    <row r="623" ht="15.75" customHeight="1">
      <c r="A623" s="3"/>
      <c r="B623" s="3"/>
      <c r="C623" s="3"/>
      <c r="D623" s="3"/>
      <c r="E623" s="3"/>
      <c r="F623" s="3"/>
    </row>
    <row r="624" ht="15.75" customHeight="1">
      <c r="A624" s="3"/>
      <c r="B624" s="3"/>
      <c r="C624" s="3"/>
      <c r="D624" s="3"/>
      <c r="E624" s="3"/>
      <c r="F624" s="3"/>
    </row>
    <row r="625" ht="15.75" customHeight="1">
      <c r="A625" s="3"/>
      <c r="B625" s="3"/>
      <c r="C625" s="3"/>
      <c r="D625" s="3"/>
      <c r="E625" s="3"/>
      <c r="F625" s="3"/>
    </row>
    <row r="626" ht="15.75" customHeight="1">
      <c r="A626" s="3"/>
      <c r="B626" s="3"/>
      <c r="C626" s="3"/>
      <c r="D626" s="3"/>
      <c r="E626" s="3"/>
      <c r="F626" s="3"/>
    </row>
    <row r="627" ht="15.75" customHeight="1">
      <c r="A627" s="3"/>
      <c r="B627" s="3"/>
      <c r="C627" s="3"/>
      <c r="D627" s="3"/>
      <c r="E627" s="3"/>
      <c r="F627" s="3"/>
    </row>
    <row r="628" ht="15.75" customHeight="1">
      <c r="A628" s="3"/>
      <c r="B628" s="3"/>
      <c r="C628" s="3"/>
      <c r="D628" s="3"/>
      <c r="E628" s="3"/>
      <c r="F628" s="3"/>
    </row>
    <row r="629" ht="15.75" customHeight="1">
      <c r="A629" s="3"/>
      <c r="B629" s="3"/>
      <c r="C629" s="3"/>
      <c r="D629" s="3"/>
      <c r="E629" s="3"/>
      <c r="F629" s="3"/>
    </row>
    <row r="630" ht="15.75" customHeight="1">
      <c r="A630" s="3"/>
      <c r="B630" s="3"/>
      <c r="C630" s="3"/>
      <c r="D630" s="3"/>
      <c r="E630" s="3"/>
      <c r="F630" s="3"/>
    </row>
    <row r="631" ht="15.75" customHeight="1">
      <c r="A631" s="3"/>
      <c r="B631" s="3"/>
      <c r="C631" s="3"/>
      <c r="D631" s="3"/>
      <c r="E631" s="3"/>
      <c r="F631" s="3"/>
    </row>
    <row r="632" ht="15.75" customHeight="1">
      <c r="A632" s="3"/>
      <c r="B632" s="3"/>
      <c r="C632" s="3"/>
      <c r="D632" s="3"/>
      <c r="E632" s="3"/>
      <c r="F632" s="3"/>
    </row>
    <row r="633" ht="15.75" customHeight="1">
      <c r="A633" s="3"/>
      <c r="B633" s="3"/>
      <c r="C633" s="3"/>
      <c r="D633" s="3"/>
      <c r="E633" s="3"/>
      <c r="F633" s="3"/>
    </row>
    <row r="634" ht="15.75" customHeight="1">
      <c r="A634" s="3"/>
      <c r="B634" s="3"/>
      <c r="C634" s="3"/>
      <c r="D634" s="3"/>
      <c r="E634" s="3"/>
      <c r="F634" s="3"/>
    </row>
    <row r="635" ht="15.75" customHeight="1">
      <c r="A635" s="3"/>
      <c r="B635" s="3"/>
      <c r="C635" s="3"/>
      <c r="D635" s="3"/>
      <c r="E635" s="3"/>
      <c r="F635" s="3"/>
    </row>
    <row r="636" ht="15.75" customHeight="1">
      <c r="A636" s="3"/>
      <c r="B636" s="3"/>
      <c r="C636" s="3"/>
      <c r="D636" s="3"/>
      <c r="E636" s="3"/>
      <c r="F636" s="3"/>
    </row>
    <row r="637" ht="15.75" customHeight="1">
      <c r="A637" s="3"/>
      <c r="B637" s="3"/>
      <c r="C637" s="3"/>
      <c r="D637" s="3"/>
      <c r="E637" s="3"/>
      <c r="F637" s="3"/>
    </row>
    <row r="638" ht="15.75" customHeight="1">
      <c r="A638" s="3"/>
      <c r="B638" s="3"/>
      <c r="C638" s="3"/>
      <c r="D638" s="3"/>
      <c r="E638" s="3"/>
      <c r="F638" s="3"/>
    </row>
    <row r="639" ht="15.75" customHeight="1">
      <c r="A639" s="3"/>
      <c r="B639" s="3"/>
      <c r="C639" s="3"/>
      <c r="D639" s="3"/>
      <c r="E639" s="3"/>
      <c r="F639" s="3"/>
    </row>
    <row r="640" ht="15.75" customHeight="1">
      <c r="A640" s="3"/>
      <c r="B640" s="3"/>
      <c r="C640" s="3"/>
      <c r="D640" s="3"/>
      <c r="E640" s="3"/>
      <c r="F640" s="3"/>
    </row>
    <row r="641" ht="15.75" customHeight="1">
      <c r="A641" s="3"/>
      <c r="B641" s="3"/>
      <c r="C641" s="3"/>
      <c r="D641" s="3"/>
      <c r="E641" s="3"/>
      <c r="F641" s="3"/>
    </row>
    <row r="642" ht="15.75" customHeight="1">
      <c r="A642" s="3"/>
      <c r="B642" s="3"/>
      <c r="C642" s="3"/>
      <c r="D642" s="3"/>
      <c r="E642" s="3"/>
      <c r="F642" s="3"/>
    </row>
    <row r="643" ht="15.75" customHeight="1">
      <c r="A643" s="3"/>
      <c r="B643" s="3"/>
      <c r="C643" s="3"/>
      <c r="D643" s="3"/>
      <c r="E643" s="3"/>
      <c r="F643" s="3"/>
    </row>
    <row r="644" ht="15.75" customHeight="1">
      <c r="A644" s="3"/>
      <c r="B644" s="3"/>
      <c r="C644" s="3"/>
      <c r="D644" s="3"/>
      <c r="E644" s="3"/>
      <c r="F644" s="3"/>
    </row>
    <row r="645" ht="15.75" customHeight="1">
      <c r="A645" s="3"/>
      <c r="B645" s="3"/>
      <c r="C645" s="3"/>
      <c r="D645" s="3"/>
      <c r="E645" s="3"/>
      <c r="F645" s="3"/>
    </row>
    <row r="646" ht="15.75" customHeight="1">
      <c r="A646" s="3"/>
      <c r="B646" s="3"/>
      <c r="C646" s="3"/>
      <c r="D646" s="3"/>
      <c r="E646" s="3"/>
      <c r="F646" s="3"/>
    </row>
    <row r="647" ht="15.75" customHeight="1">
      <c r="A647" s="3"/>
      <c r="B647" s="3"/>
      <c r="C647" s="3"/>
      <c r="D647" s="3"/>
      <c r="E647" s="3"/>
      <c r="F647" s="3"/>
    </row>
    <row r="648" ht="15.75" customHeight="1">
      <c r="A648" s="3"/>
      <c r="B648" s="3"/>
      <c r="C648" s="3"/>
      <c r="D648" s="3"/>
      <c r="E648" s="3"/>
      <c r="F648" s="3"/>
    </row>
    <row r="649" ht="15.75" customHeight="1">
      <c r="A649" s="3"/>
      <c r="B649" s="3"/>
      <c r="C649" s="3"/>
      <c r="D649" s="3"/>
      <c r="E649" s="3"/>
      <c r="F649" s="3"/>
    </row>
    <row r="650" ht="15.75" customHeight="1">
      <c r="A650" s="3"/>
      <c r="B650" s="3"/>
      <c r="C650" s="3"/>
      <c r="D650" s="3"/>
      <c r="E650" s="3"/>
      <c r="F650" s="3"/>
    </row>
    <row r="651" ht="15.75" customHeight="1">
      <c r="A651" s="3"/>
      <c r="B651" s="3"/>
      <c r="C651" s="3"/>
      <c r="D651" s="3"/>
      <c r="E651" s="3"/>
      <c r="F651" s="3"/>
    </row>
    <row r="652" ht="15.75" customHeight="1">
      <c r="A652" s="3"/>
      <c r="B652" s="3"/>
      <c r="C652" s="3"/>
      <c r="D652" s="3"/>
      <c r="E652" s="3"/>
      <c r="F652" s="3"/>
    </row>
    <row r="653" ht="15.75" customHeight="1">
      <c r="A653" s="3"/>
      <c r="B653" s="3"/>
      <c r="C653" s="3"/>
      <c r="D653" s="3"/>
      <c r="E653" s="3"/>
      <c r="F653" s="3"/>
    </row>
    <row r="654" ht="15.75" customHeight="1">
      <c r="A654" s="3"/>
      <c r="B654" s="3"/>
      <c r="C654" s="3"/>
      <c r="D654" s="3"/>
      <c r="E654" s="3"/>
      <c r="F654" s="3"/>
    </row>
    <row r="655" ht="15.75" customHeight="1">
      <c r="A655" s="3"/>
      <c r="B655" s="3"/>
      <c r="C655" s="3"/>
      <c r="D655" s="3"/>
      <c r="E655" s="3"/>
      <c r="F655" s="3"/>
    </row>
    <row r="656" ht="15.75" customHeight="1">
      <c r="A656" s="3"/>
      <c r="B656" s="3"/>
      <c r="C656" s="3"/>
      <c r="D656" s="3"/>
      <c r="E656" s="3"/>
      <c r="F656" s="3"/>
    </row>
    <row r="657" ht="15.75" customHeight="1">
      <c r="A657" s="3"/>
      <c r="B657" s="3"/>
      <c r="C657" s="3"/>
      <c r="D657" s="3"/>
      <c r="E657" s="3"/>
      <c r="F657" s="3"/>
    </row>
    <row r="658" ht="15.75" customHeight="1">
      <c r="A658" s="3"/>
      <c r="B658" s="3"/>
      <c r="C658" s="3"/>
      <c r="D658" s="3"/>
      <c r="E658" s="3"/>
      <c r="F658" s="3"/>
    </row>
    <row r="659" ht="15.75" customHeight="1">
      <c r="A659" s="3"/>
      <c r="B659" s="3"/>
      <c r="C659" s="3"/>
      <c r="D659" s="3"/>
      <c r="E659" s="3"/>
      <c r="F659" s="3"/>
    </row>
    <row r="660" ht="15.75" customHeight="1">
      <c r="A660" s="3"/>
      <c r="B660" s="3"/>
      <c r="C660" s="3"/>
      <c r="D660" s="3"/>
      <c r="E660" s="3"/>
      <c r="F660" s="3"/>
    </row>
    <row r="661" ht="15.75" customHeight="1">
      <c r="A661" s="3"/>
      <c r="B661" s="3"/>
      <c r="C661" s="3"/>
      <c r="D661" s="3"/>
      <c r="E661" s="3"/>
      <c r="F661" s="3"/>
    </row>
    <row r="662" ht="15.75" customHeight="1">
      <c r="A662" s="3"/>
      <c r="B662" s="3"/>
      <c r="C662" s="3"/>
      <c r="D662" s="3"/>
      <c r="E662" s="3"/>
      <c r="F662" s="3"/>
    </row>
    <row r="663" ht="15.75" customHeight="1">
      <c r="A663" s="3"/>
      <c r="B663" s="3"/>
      <c r="C663" s="3"/>
      <c r="D663" s="3"/>
      <c r="E663" s="3"/>
      <c r="F663" s="3"/>
    </row>
    <row r="664" ht="15.75" customHeight="1">
      <c r="A664" s="3"/>
      <c r="B664" s="3"/>
      <c r="C664" s="3"/>
      <c r="D664" s="3"/>
      <c r="E664" s="3"/>
      <c r="F664" s="3"/>
    </row>
    <row r="665" ht="15.75" customHeight="1">
      <c r="A665" s="3"/>
      <c r="B665" s="3"/>
      <c r="C665" s="3"/>
      <c r="D665" s="3"/>
      <c r="E665" s="3"/>
      <c r="F665" s="3"/>
    </row>
    <row r="666" ht="15.75" customHeight="1">
      <c r="A666" s="3"/>
      <c r="B666" s="3"/>
      <c r="C666" s="3"/>
      <c r="D666" s="3"/>
      <c r="E666" s="3"/>
      <c r="F666" s="3"/>
    </row>
    <row r="667" ht="15.75" customHeight="1">
      <c r="A667" s="3"/>
      <c r="B667" s="3"/>
      <c r="C667" s="3"/>
      <c r="D667" s="3"/>
      <c r="E667" s="3"/>
      <c r="F667" s="3"/>
    </row>
    <row r="668" ht="15.75" customHeight="1">
      <c r="A668" s="3"/>
      <c r="B668" s="3"/>
      <c r="C668" s="3"/>
      <c r="D668" s="3"/>
      <c r="E668" s="3"/>
      <c r="F668" s="3"/>
    </row>
    <row r="669" ht="15.75" customHeight="1">
      <c r="A669" s="3"/>
      <c r="B669" s="3"/>
      <c r="C669" s="3"/>
      <c r="D669" s="3"/>
      <c r="E669" s="3"/>
      <c r="F669" s="3"/>
    </row>
    <row r="670" ht="15.75" customHeight="1">
      <c r="A670" s="3"/>
      <c r="B670" s="3"/>
      <c r="C670" s="3"/>
      <c r="D670" s="3"/>
      <c r="E670" s="3"/>
      <c r="F670" s="3"/>
    </row>
    <row r="671" ht="15.75" customHeight="1">
      <c r="A671" s="3"/>
      <c r="B671" s="3"/>
      <c r="C671" s="3"/>
      <c r="D671" s="3"/>
      <c r="E671" s="3"/>
      <c r="F671" s="3"/>
    </row>
    <row r="672" ht="15.75" customHeight="1">
      <c r="A672" s="3"/>
      <c r="B672" s="3"/>
      <c r="C672" s="3"/>
      <c r="D672" s="3"/>
      <c r="E672" s="3"/>
      <c r="F672" s="3"/>
    </row>
    <row r="673" ht="15.75" customHeight="1">
      <c r="A673" s="3"/>
      <c r="B673" s="3"/>
      <c r="C673" s="3"/>
      <c r="D673" s="3"/>
      <c r="E673" s="3"/>
      <c r="F673" s="3"/>
    </row>
    <row r="674" ht="15.75" customHeight="1">
      <c r="A674" s="3"/>
      <c r="B674" s="3"/>
      <c r="C674" s="3"/>
      <c r="D674" s="3"/>
      <c r="E674" s="3"/>
      <c r="F674" s="3"/>
    </row>
    <row r="675" ht="15.75" customHeight="1">
      <c r="A675" s="3"/>
      <c r="B675" s="3"/>
      <c r="C675" s="3"/>
      <c r="D675" s="3"/>
      <c r="E675" s="3"/>
      <c r="F675" s="3"/>
    </row>
    <row r="676" ht="15.75" customHeight="1">
      <c r="A676" s="3"/>
      <c r="B676" s="3"/>
      <c r="C676" s="3"/>
      <c r="D676" s="3"/>
      <c r="E676" s="3"/>
      <c r="F676" s="3"/>
    </row>
    <row r="677" ht="15.75" customHeight="1">
      <c r="A677" s="3"/>
      <c r="B677" s="3"/>
      <c r="C677" s="3"/>
      <c r="D677" s="3"/>
      <c r="E677" s="3"/>
      <c r="F677" s="3"/>
    </row>
    <row r="678" ht="15.75" customHeight="1">
      <c r="A678" s="3"/>
      <c r="B678" s="3"/>
      <c r="C678" s="3"/>
      <c r="D678" s="3"/>
      <c r="E678" s="3"/>
      <c r="F678" s="3"/>
    </row>
    <row r="679" ht="15.75" customHeight="1">
      <c r="A679" s="3"/>
      <c r="B679" s="3"/>
      <c r="C679" s="3"/>
      <c r="D679" s="3"/>
      <c r="E679" s="3"/>
      <c r="F679" s="3"/>
    </row>
    <row r="680" ht="15.75" customHeight="1">
      <c r="A680" s="3"/>
      <c r="B680" s="3"/>
      <c r="C680" s="3"/>
      <c r="D680" s="3"/>
      <c r="E680" s="3"/>
      <c r="F680" s="3"/>
    </row>
    <row r="681" ht="15.75" customHeight="1">
      <c r="A681" s="3"/>
      <c r="B681" s="3"/>
      <c r="C681" s="3"/>
      <c r="D681" s="3"/>
      <c r="E681" s="3"/>
      <c r="F681" s="3"/>
    </row>
    <row r="682" ht="15.75" customHeight="1">
      <c r="A682" s="3"/>
      <c r="B682" s="3"/>
      <c r="C682" s="3"/>
      <c r="D682" s="3"/>
      <c r="E682" s="3"/>
      <c r="F682" s="3"/>
    </row>
    <row r="683" ht="15.75" customHeight="1">
      <c r="A683" s="3"/>
      <c r="B683" s="3"/>
      <c r="C683" s="3"/>
      <c r="D683" s="3"/>
      <c r="E683" s="3"/>
      <c r="F683" s="3"/>
    </row>
    <row r="684" ht="15.75" customHeight="1">
      <c r="A684" s="3"/>
      <c r="B684" s="3"/>
      <c r="C684" s="3"/>
      <c r="D684" s="3"/>
      <c r="E684" s="3"/>
      <c r="F684" s="3"/>
    </row>
    <row r="685" ht="15.75" customHeight="1">
      <c r="A685" s="3"/>
      <c r="B685" s="3"/>
      <c r="C685" s="3"/>
      <c r="D685" s="3"/>
      <c r="E685" s="3"/>
      <c r="F685" s="3"/>
    </row>
    <row r="686" ht="15.75" customHeight="1">
      <c r="A686" s="3"/>
      <c r="B686" s="3"/>
      <c r="C686" s="3"/>
      <c r="D686" s="3"/>
      <c r="E686" s="3"/>
      <c r="F686" s="3"/>
    </row>
    <row r="687" ht="15.75" customHeight="1">
      <c r="A687" s="3"/>
      <c r="B687" s="3"/>
      <c r="C687" s="3"/>
      <c r="D687" s="3"/>
      <c r="E687" s="3"/>
      <c r="F687" s="3"/>
    </row>
    <row r="688" ht="15.75" customHeight="1">
      <c r="A688" s="3"/>
      <c r="B688" s="3"/>
      <c r="C688" s="3"/>
      <c r="D688" s="3"/>
      <c r="E688" s="3"/>
      <c r="F688" s="3"/>
    </row>
    <row r="689" ht="15.75" customHeight="1">
      <c r="A689" s="3"/>
      <c r="B689" s="3"/>
      <c r="C689" s="3"/>
      <c r="D689" s="3"/>
      <c r="E689" s="3"/>
      <c r="F689" s="3"/>
    </row>
    <row r="690" ht="15.75" customHeight="1">
      <c r="A690" s="3"/>
      <c r="B690" s="3"/>
      <c r="C690" s="3"/>
      <c r="D690" s="3"/>
      <c r="E690" s="3"/>
      <c r="F690" s="3"/>
    </row>
    <row r="691" ht="15.75" customHeight="1">
      <c r="A691" s="3"/>
      <c r="B691" s="3"/>
      <c r="C691" s="3"/>
      <c r="D691" s="3"/>
      <c r="E691" s="3"/>
      <c r="F691" s="3"/>
    </row>
    <row r="692" ht="15.75" customHeight="1">
      <c r="A692" s="3"/>
      <c r="B692" s="3"/>
      <c r="C692" s="3"/>
      <c r="D692" s="3"/>
      <c r="E692" s="3"/>
      <c r="F692" s="3"/>
    </row>
    <row r="693" ht="15.75" customHeight="1">
      <c r="A693" s="3"/>
      <c r="B693" s="3"/>
      <c r="C693" s="3"/>
      <c r="D693" s="3"/>
      <c r="E693" s="3"/>
      <c r="F693" s="3"/>
    </row>
    <row r="694" ht="15.75" customHeight="1">
      <c r="A694" s="3"/>
      <c r="B694" s="3"/>
      <c r="C694" s="3"/>
      <c r="D694" s="3"/>
      <c r="E694" s="3"/>
      <c r="F694" s="3"/>
    </row>
    <row r="695" ht="15.75" customHeight="1">
      <c r="A695" s="3"/>
      <c r="B695" s="3"/>
      <c r="C695" s="3"/>
      <c r="D695" s="3"/>
      <c r="E695" s="3"/>
      <c r="F695" s="3"/>
    </row>
    <row r="696" ht="15.75" customHeight="1">
      <c r="A696" s="3"/>
      <c r="B696" s="3"/>
      <c r="C696" s="3"/>
      <c r="D696" s="3"/>
      <c r="E696" s="3"/>
      <c r="F696" s="3"/>
    </row>
    <row r="697" ht="15.75" customHeight="1">
      <c r="A697" s="3"/>
      <c r="B697" s="3"/>
      <c r="C697" s="3"/>
      <c r="D697" s="3"/>
      <c r="E697" s="3"/>
      <c r="F697" s="3"/>
    </row>
    <row r="698" ht="15.75" customHeight="1">
      <c r="A698" s="3"/>
      <c r="B698" s="3"/>
      <c r="C698" s="3"/>
      <c r="D698" s="3"/>
      <c r="E698" s="3"/>
      <c r="F698" s="3"/>
    </row>
    <row r="699" ht="15.75" customHeight="1">
      <c r="A699" s="3"/>
      <c r="B699" s="3"/>
      <c r="C699" s="3"/>
      <c r="D699" s="3"/>
      <c r="E699" s="3"/>
      <c r="F699" s="3"/>
    </row>
    <row r="700" ht="15.75" customHeight="1">
      <c r="A700" s="3"/>
      <c r="B700" s="3"/>
      <c r="C700" s="3"/>
      <c r="D700" s="3"/>
      <c r="E700" s="3"/>
      <c r="F700" s="3"/>
    </row>
    <row r="701" ht="15.75" customHeight="1">
      <c r="A701" s="3"/>
      <c r="B701" s="3"/>
      <c r="C701" s="3"/>
      <c r="D701" s="3"/>
      <c r="E701" s="3"/>
      <c r="F701" s="3"/>
    </row>
    <row r="702" ht="15.75" customHeight="1">
      <c r="A702" s="3"/>
      <c r="B702" s="3"/>
      <c r="C702" s="3"/>
      <c r="D702" s="3"/>
      <c r="E702" s="3"/>
      <c r="F702" s="3"/>
    </row>
    <row r="703" ht="15.75" customHeight="1">
      <c r="A703" s="3"/>
      <c r="B703" s="3"/>
      <c r="C703" s="3"/>
      <c r="D703" s="3"/>
      <c r="E703" s="3"/>
      <c r="F703" s="3"/>
    </row>
    <row r="704" ht="15.75" customHeight="1">
      <c r="A704" s="3"/>
      <c r="B704" s="3"/>
      <c r="C704" s="3"/>
      <c r="D704" s="3"/>
      <c r="E704" s="3"/>
      <c r="F704" s="3"/>
    </row>
    <row r="705" ht="15.75" customHeight="1">
      <c r="A705" s="3"/>
      <c r="B705" s="3"/>
      <c r="C705" s="3"/>
      <c r="D705" s="3"/>
      <c r="E705" s="3"/>
      <c r="F705" s="3"/>
    </row>
    <row r="706" ht="15.75" customHeight="1">
      <c r="A706" s="3"/>
      <c r="B706" s="3"/>
      <c r="C706" s="3"/>
      <c r="D706" s="3"/>
      <c r="E706" s="3"/>
      <c r="F706" s="3"/>
    </row>
    <row r="707" ht="15.75" customHeight="1">
      <c r="A707" s="3"/>
      <c r="B707" s="3"/>
      <c r="C707" s="3"/>
      <c r="D707" s="3"/>
      <c r="E707" s="3"/>
      <c r="F707" s="3"/>
    </row>
    <row r="708" ht="15.75" customHeight="1">
      <c r="A708" s="3"/>
      <c r="B708" s="3"/>
      <c r="C708" s="3"/>
      <c r="D708" s="3"/>
      <c r="E708" s="3"/>
      <c r="F708" s="3"/>
    </row>
    <row r="709" ht="15.75" customHeight="1">
      <c r="A709" s="3"/>
      <c r="B709" s="3"/>
      <c r="C709" s="3"/>
      <c r="D709" s="3"/>
      <c r="E709" s="3"/>
      <c r="F709" s="3"/>
    </row>
    <row r="710" ht="15.75" customHeight="1">
      <c r="A710" s="3"/>
      <c r="B710" s="3"/>
      <c r="C710" s="3"/>
      <c r="D710" s="3"/>
      <c r="E710" s="3"/>
      <c r="F710" s="3"/>
    </row>
    <row r="711" ht="15.75" customHeight="1">
      <c r="A711" s="3"/>
      <c r="B711" s="3"/>
      <c r="C711" s="3"/>
      <c r="D711" s="3"/>
      <c r="E711" s="3"/>
      <c r="F711" s="3"/>
    </row>
    <row r="712" ht="15.75" customHeight="1">
      <c r="A712" s="3"/>
      <c r="B712" s="3"/>
      <c r="C712" s="3"/>
      <c r="D712" s="3"/>
      <c r="E712" s="3"/>
      <c r="F712" s="3"/>
    </row>
    <row r="713" ht="15.75" customHeight="1">
      <c r="A713" s="3"/>
      <c r="B713" s="3"/>
      <c r="C713" s="3"/>
      <c r="D713" s="3"/>
      <c r="E713" s="3"/>
      <c r="F713" s="3"/>
    </row>
    <row r="714" ht="15.75" customHeight="1">
      <c r="A714" s="3"/>
      <c r="B714" s="3"/>
      <c r="C714" s="3"/>
      <c r="D714" s="3"/>
      <c r="E714" s="3"/>
      <c r="F714" s="3"/>
    </row>
    <row r="715" ht="15.75" customHeight="1">
      <c r="A715" s="3"/>
      <c r="B715" s="3"/>
      <c r="C715" s="3"/>
      <c r="D715" s="3"/>
      <c r="E715" s="3"/>
      <c r="F715" s="3"/>
    </row>
    <row r="716" ht="15.75" customHeight="1">
      <c r="A716" s="3"/>
      <c r="B716" s="3"/>
      <c r="C716" s="3"/>
      <c r="D716" s="3"/>
      <c r="E716" s="3"/>
      <c r="F716" s="3"/>
    </row>
    <row r="717" ht="15.75" customHeight="1">
      <c r="A717" s="3"/>
      <c r="B717" s="3"/>
      <c r="C717" s="3"/>
      <c r="D717" s="3"/>
      <c r="E717" s="3"/>
      <c r="F717" s="3"/>
    </row>
    <row r="718" ht="15.75" customHeight="1">
      <c r="A718" s="3"/>
      <c r="B718" s="3"/>
      <c r="C718" s="3"/>
      <c r="D718" s="3"/>
      <c r="E718" s="3"/>
      <c r="F718" s="3"/>
    </row>
    <row r="719" ht="15.75" customHeight="1">
      <c r="A719" s="3"/>
      <c r="B719" s="3"/>
      <c r="C719" s="3"/>
      <c r="D719" s="3"/>
      <c r="E719" s="3"/>
      <c r="F719" s="3"/>
    </row>
    <row r="720" ht="15.75" customHeight="1">
      <c r="A720" s="3"/>
      <c r="B720" s="3"/>
      <c r="C720" s="3"/>
      <c r="D720" s="3"/>
      <c r="E720" s="3"/>
      <c r="F720" s="3"/>
    </row>
    <row r="721" ht="15.75" customHeight="1">
      <c r="A721" s="3"/>
      <c r="B721" s="3"/>
      <c r="C721" s="3"/>
      <c r="D721" s="3"/>
      <c r="E721" s="3"/>
      <c r="F721" s="3"/>
    </row>
    <row r="722" ht="15.75" customHeight="1">
      <c r="A722" s="3"/>
      <c r="B722" s="3"/>
      <c r="C722" s="3"/>
      <c r="D722" s="3"/>
      <c r="E722" s="3"/>
      <c r="F722" s="3"/>
    </row>
    <row r="723" ht="15.75" customHeight="1">
      <c r="A723" s="3"/>
      <c r="B723" s="3"/>
      <c r="C723" s="3"/>
      <c r="D723" s="3"/>
      <c r="E723" s="3"/>
      <c r="F723" s="3"/>
    </row>
    <row r="724" ht="15.75" customHeight="1">
      <c r="A724" s="3"/>
      <c r="B724" s="3"/>
      <c r="C724" s="3"/>
      <c r="D724" s="3"/>
      <c r="E724" s="3"/>
      <c r="F724" s="3"/>
    </row>
    <row r="725" ht="15.75" customHeight="1">
      <c r="A725" s="3"/>
      <c r="B725" s="3"/>
      <c r="C725" s="3"/>
      <c r="D725" s="3"/>
      <c r="E725" s="3"/>
      <c r="F725" s="3"/>
    </row>
    <row r="726" ht="15.75" customHeight="1">
      <c r="A726" s="3"/>
      <c r="B726" s="3"/>
      <c r="C726" s="3"/>
      <c r="D726" s="3"/>
      <c r="E726" s="3"/>
      <c r="F726" s="3"/>
    </row>
    <row r="727" ht="15.75" customHeight="1">
      <c r="A727" s="3"/>
      <c r="B727" s="3"/>
      <c r="C727" s="3"/>
      <c r="D727" s="3"/>
      <c r="E727" s="3"/>
      <c r="F727" s="3"/>
    </row>
    <row r="728" ht="15.75" customHeight="1">
      <c r="A728" s="3"/>
      <c r="B728" s="3"/>
      <c r="C728" s="3"/>
      <c r="D728" s="3"/>
      <c r="E728" s="3"/>
      <c r="F728" s="3"/>
    </row>
    <row r="729" ht="15.75" customHeight="1">
      <c r="A729" s="3"/>
      <c r="B729" s="3"/>
      <c r="C729" s="3"/>
      <c r="D729" s="3"/>
      <c r="E729" s="3"/>
      <c r="F729" s="3"/>
    </row>
    <row r="730" ht="15.75" customHeight="1">
      <c r="A730" s="3"/>
      <c r="B730" s="3"/>
      <c r="C730" s="3"/>
      <c r="D730" s="3"/>
      <c r="E730" s="3"/>
      <c r="F730" s="3"/>
    </row>
    <row r="731" ht="15.75" customHeight="1">
      <c r="A731" s="3"/>
      <c r="B731" s="3"/>
      <c r="C731" s="3"/>
      <c r="D731" s="3"/>
      <c r="E731" s="3"/>
      <c r="F731" s="3"/>
    </row>
    <row r="732" ht="15.75" customHeight="1">
      <c r="A732" s="3"/>
      <c r="B732" s="3"/>
      <c r="C732" s="3"/>
      <c r="D732" s="3"/>
      <c r="E732" s="3"/>
      <c r="F732" s="3"/>
    </row>
    <row r="733" ht="15.75" customHeight="1">
      <c r="A733" s="3"/>
      <c r="B733" s="3"/>
      <c r="C733" s="3"/>
      <c r="D733" s="3"/>
      <c r="E733" s="3"/>
      <c r="F733" s="3"/>
    </row>
    <row r="734" ht="15.75" customHeight="1">
      <c r="A734" s="3"/>
      <c r="B734" s="3"/>
      <c r="C734" s="3"/>
      <c r="D734" s="3"/>
      <c r="E734" s="3"/>
      <c r="F734" s="3"/>
    </row>
    <row r="735" ht="15.75" customHeight="1">
      <c r="A735" s="3"/>
      <c r="B735" s="3"/>
      <c r="C735" s="3"/>
      <c r="D735" s="3"/>
      <c r="E735" s="3"/>
      <c r="F735" s="3"/>
    </row>
    <row r="736" ht="15.75" customHeight="1">
      <c r="A736" s="3"/>
      <c r="B736" s="3"/>
      <c r="C736" s="3"/>
      <c r="D736" s="3"/>
      <c r="E736" s="3"/>
      <c r="F736" s="3"/>
    </row>
    <row r="737" ht="15.75" customHeight="1">
      <c r="A737" s="3"/>
      <c r="B737" s="3"/>
      <c r="C737" s="3"/>
      <c r="D737" s="3"/>
      <c r="E737" s="3"/>
      <c r="F737" s="3"/>
    </row>
    <row r="738" ht="15.75" customHeight="1">
      <c r="A738" s="3"/>
      <c r="B738" s="3"/>
      <c r="C738" s="3"/>
      <c r="D738" s="3"/>
      <c r="E738" s="3"/>
      <c r="F738" s="3"/>
    </row>
    <row r="739" ht="15.75" customHeight="1">
      <c r="A739" s="3"/>
      <c r="B739" s="3"/>
      <c r="C739" s="3"/>
      <c r="D739" s="3"/>
      <c r="E739" s="3"/>
      <c r="F739" s="3"/>
    </row>
    <row r="740" ht="15.75" customHeight="1">
      <c r="A740" s="3"/>
      <c r="B740" s="3"/>
      <c r="C740" s="3"/>
      <c r="D740" s="3"/>
      <c r="E740" s="3"/>
      <c r="F740" s="3"/>
    </row>
    <row r="741" ht="15.75" customHeight="1">
      <c r="A741" s="3"/>
      <c r="B741" s="3"/>
      <c r="C741" s="3"/>
      <c r="D741" s="3"/>
      <c r="E741" s="3"/>
      <c r="F741" s="3"/>
    </row>
    <row r="742" ht="15.75" customHeight="1">
      <c r="A742" s="3"/>
      <c r="B742" s="3"/>
      <c r="C742" s="3"/>
      <c r="D742" s="3"/>
      <c r="E742" s="3"/>
      <c r="F742" s="3"/>
    </row>
    <row r="743" ht="15.75" customHeight="1">
      <c r="A743" s="3"/>
      <c r="B743" s="3"/>
      <c r="C743" s="3"/>
      <c r="D743" s="3"/>
      <c r="E743" s="3"/>
      <c r="F743" s="3"/>
    </row>
    <row r="744" ht="15.75" customHeight="1">
      <c r="A744" s="3"/>
      <c r="B744" s="3"/>
      <c r="C744" s="3"/>
      <c r="D744" s="3"/>
      <c r="E744" s="3"/>
      <c r="F744" s="3"/>
    </row>
    <row r="745" ht="15.75" customHeight="1">
      <c r="A745" s="3"/>
      <c r="B745" s="3"/>
      <c r="C745" s="3"/>
      <c r="D745" s="3"/>
      <c r="E745" s="3"/>
      <c r="F745" s="3"/>
    </row>
    <row r="746" ht="15.75" customHeight="1">
      <c r="A746" s="3"/>
      <c r="B746" s="3"/>
      <c r="C746" s="3"/>
      <c r="D746" s="3"/>
      <c r="E746" s="3"/>
      <c r="F746" s="3"/>
    </row>
    <row r="747" ht="15.75" customHeight="1">
      <c r="A747" s="3"/>
      <c r="B747" s="3"/>
      <c r="C747" s="3"/>
      <c r="D747" s="3"/>
      <c r="E747" s="3"/>
      <c r="F747" s="3"/>
    </row>
    <row r="748" ht="15.75" customHeight="1">
      <c r="A748" s="3"/>
      <c r="B748" s="3"/>
      <c r="C748" s="3"/>
      <c r="D748" s="3"/>
      <c r="E748" s="3"/>
      <c r="F748" s="3"/>
    </row>
    <row r="749" ht="15.75" customHeight="1">
      <c r="A749" s="3"/>
      <c r="B749" s="3"/>
      <c r="C749" s="3"/>
      <c r="D749" s="3"/>
      <c r="E749" s="3"/>
      <c r="F749" s="3"/>
    </row>
    <row r="750" ht="15.75" customHeight="1">
      <c r="A750" s="3"/>
      <c r="B750" s="3"/>
      <c r="C750" s="3"/>
      <c r="D750" s="3"/>
      <c r="E750" s="3"/>
      <c r="F750" s="3"/>
    </row>
    <row r="751" ht="15.75" customHeight="1">
      <c r="A751" s="3"/>
      <c r="B751" s="3"/>
      <c r="C751" s="3"/>
      <c r="D751" s="3"/>
      <c r="E751" s="3"/>
      <c r="F751" s="3"/>
    </row>
    <row r="752" ht="15.75" customHeight="1">
      <c r="A752" s="3"/>
      <c r="B752" s="3"/>
      <c r="C752" s="3"/>
      <c r="D752" s="3"/>
      <c r="E752" s="3"/>
      <c r="F752" s="3"/>
    </row>
    <row r="753" ht="15.75" customHeight="1">
      <c r="A753" s="3"/>
      <c r="B753" s="3"/>
      <c r="C753" s="3"/>
      <c r="D753" s="3"/>
      <c r="E753" s="3"/>
      <c r="F753" s="3"/>
    </row>
    <row r="754" ht="15.75" customHeight="1">
      <c r="A754" s="3"/>
      <c r="B754" s="3"/>
      <c r="C754" s="3"/>
      <c r="D754" s="3"/>
      <c r="E754" s="3"/>
      <c r="F754" s="3"/>
    </row>
    <row r="755" ht="15.75" customHeight="1">
      <c r="A755" s="3"/>
      <c r="B755" s="3"/>
      <c r="C755" s="3"/>
      <c r="D755" s="3"/>
      <c r="E755" s="3"/>
      <c r="F755" s="3"/>
    </row>
    <row r="756" ht="15.75" customHeight="1">
      <c r="A756" s="3"/>
      <c r="B756" s="3"/>
      <c r="C756" s="3"/>
      <c r="D756" s="3"/>
      <c r="E756" s="3"/>
      <c r="F756" s="3"/>
    </row>
    <row r="757" ht="15.75" customHeight="1">
      <c r="A757" s="3"/>
      <c r="B757" s="3"/>
      <c r="C757" s="3"/>
      <c r="D757" s="3"/>
      <c r="E757" s="3"/>
      <c r="F757" s="3"/>
    </row>
    <row r="758" ht="15.75" customHeight="1">
      <c r="A758" s="3"/>
      <c r="B758" s="3"/>
      <c r="C758" s="3"/>
      <c r="D758" s="3"/>
      <c r="E758" s="3"/>
      <c r="F758" s="3"/>
    </row>
    <row r="759" ht="15.75" customHeight="1">
      <c r="A759" s="3"/>
      <c r="B759" s="3"/>
      <c r="C759" s="3"/>
      <c r="D759" s="3"/>
      <c r="E759" s="3"/>
      <c r="F759" s="3"/>
    </row>
    <row r="760" ht="15.75" customHeight="1">
      <c r="A760" s="3"/>
      <c r="B760" s="3"/>
      <c r="C760" s="3"/>
      <c r="D760" s="3"/>
      <c r="E760" s="3"/>
      <c r="F760" s="3"/>
    </row>
    <row r="761" ht="15.75" customHeight="1">
      <c r="A761" s="3"/>
      <c r="B761" s="3"/>
      <c r="C761" s="3"/>
      <c r="D761" s="3"/>
      <c r="E761" s="3"/>
      <c r="F761" s="3"/>
    </row>
    <row r="762" ht="15.75" customHeight="1">
      <c r="A762" s="3"/>
      <c r="B762" s="3"/>
      <c r="C762" s="3"/>
      <c r="D762" s="3"/>
      <c r="E762" s="3"/>
      <c r="F762" s="3"/>
    </row>
    <row r="763" ht="15.75" customHeight="1">
      <c r="A763" s="3"/>
      <c r="B763" s="3"/>
      <c r="C763" s="3"/>
      <c r="D763" s="3"/>
      <c r="E763" s="3"/>
      <c r="F763" s="3"/>
    </row>
    <row r="764" ht="15.75" customHeight="1">
      <c r="A764" s="3"/>
      <c r="B764" s="3"/>
      <c r="C764" s="3"/>
      <c r="D764" s="3"/>
      <c r="E764" s="3"/>
      <c r="F764" s="3"/>
    </row>
    <row r="765" ht="15.75" customHeight="1">
      <c r="A765" s="3"/>
      <c r="B765" s="3"/>
      <c r="C765" s="3"/>
      <c r="D765" s="3"/>
      <c r="E765" s="3"/>
      <c r="F765" s="3"/>
    </row>
    <row r="766" ht="15.75" customHeight="1">
      <c r="A766" s="3"/>
      <c r="B766" s="3"/>
      <c r="C766" s="3"/>
      <c r="D766" s="3"/>
      <c r="E766" s="3"/>
      <c r="F766" s="3"/>
    </row>
    <row r="767" ht="15.75" customHeight="1">
      <c r="A767" s="3"/>
      <c r="B767" s="3"/>
      <c r="C767" s="3"/>
      <c r="D767" s="3"/>
      <c r="E767" s="3"/>
      <c r="F767" s="3"/>
    </row>
    <row r="768" ht="15.75" customHeight="1">
      <c r="A768" s="3"/>
      <c r="B768" s="3"/>
      <c r="C768" s="3"/>
      <c r="D768" s="3"/>
      <c r="E768" s="3"/>
      <c r="F768" s="3"/>
    </row>
    <row r="769" ht="15.75" customHeight="1">
      <c r="A769" s="3"/>
      <c r="B769" s="3"/>
      <c r="C769" s="3"/>
      <c r="D769" s="3"/>
      <c r="E769" s="3"/>
      <c r="F769" s="3"/>
    </row>
    <row r="770" ht="15.75" customHeight="1">
      <c r="A770" s="3"/>
      <c r="B770" s="3"/>
      <c r="C770" s="3"/>
      <c r="D770" s="3"/>
      <c r="E770" s="3"/>
      <c r="F770" s="3"/>
    </row>
    <row r="771" ht="15.75" customHeight="1">
      <c r="A771" s="3"/>
      <c r="B771" s="3"/>
      <c r="C771" s="3"/>
      <c r="D771" s="3"/>
      <c r="E771" s="3"/>
      <c r="F771" s="3"/>
    </row>
    <row r="772" ht="15.75" customHeight="1">
      <c r="A772" s="3"/>
      <c r="B772" s="3"/>
      <c r="C772" s="3"/>
      <c r="D772" s="3"/>
      <c r="E772" s="3"/>
      <c r="F772" s="3"/>
    </row>
    <row r="773" ht="15.75" customHeight="1">
      <c r="A773" s="3"/>
      <c r="B773" s="3"/>
      <c r="C773" s="3"/>
      <c r="D773" s="3"/>
      <c r="E773" s="3"/>
      <c r="F773" s="3"/>
    </row>
    <row r="774" ht="15.75" customHeight="1">
      <c r="A774" s="3"/>
      <c r="B774" s="3"/>
      <c r="C774" s="3"/>
      <c r="D774" s="3"/>
      <c r="E774" s="3"/>
      <c r="F774" s="3"/>
    </row>
    <row r="775" ht="15.75" customHeight="1">
      <c r="A775" s="3"/>
      <c r="B775" s="3"/>
      <c r="C775" s="3"/>
      <c r="D775" s="3"/>
      <c r="E775" s="3"/>
      <c r="F775" s="3"/>
    </row>
    <row r="776" ht="15.75" customHeight="1">
      <c r="A776" s="3"/>
      <c r="B776" s="3"/>
      <c r="C776" s="3"/>
      <c r="D776" s="3"/>
      <c r="E776" s="3"/>
      <c r="F776" s="3"/>
    </row>
    <row r="777" ht="15.75" customHeight="1">
      <c r="A777" s="3"/>
      <c r="B777" s="3"/>
      <c r="C777" s="3"/>
      <c r="D777" s="3"/>
      <c r="E777" s="3"/>
      <c r="F777" s="3"/>
    </row>
    <row r="778" ht="15.75" customHeight="1">
      <c r="A778" s="3"/>
      <c r="B778" s="3"/>
      <c r="C778" s="3"/>
      <c r="D778" s="3"/>
      <c r="E778" s="3"/>
      <c r="F778" s="3"/>
    </row>
    <row r="779" ht="15.75" customHeight="1">
      <c r="A779" s="3"/>
      <c r="B779" s="3"/>
      <c r="C779" s="3"/>
      <c r="D779" s="3"/>
      <c r="E779" s="3"/>
      <c r="F779" s="3"/>
    </row>
    <row r="780" ht="15.75" customHeight="1">
      <c r="A780" s="3"/>
      <c r="B780" s="3"/>
      <c r="C780" s="3"/>
      <c r="D780" s="3"/>
      <c r="E780" s="3"/>
      <c r="F780" s="3"/>
    </row>
    <row r="781" ht="15.75" customHeight="1">
      <c r="A781" s="3"/>
      <c r="B781" s="3"/>
      <c r="C781" s="3"/>
      <c r="D781" s="3"/>
      <c r="E781" s="3"/>
      <c r="F781" s="3"/>
    </row>
    <row r="782" ht="15.75" customHeight="1">
      <c r="A782" s="3"/>
      <c r="B782" s="3"/>
      <c r="C782" s="3"/>
      <c r="D782" s="3"/>
      <c r="E782" s="3"/>
      <c r="F782" s="3"/>
    </row>
    <row r="783" ht="15.75" customHeight="1">
      <c r="A783" s="3"/>
      <c r="B783" s="3"/>
      <c r="C783" s="3"/>
      <c r="D783" s="3"/>
      <c r="E783" s="3"/>
      <c r="F783" s="3"/>
    </row>
    <row r="784" ht="15.75" customHeight="1">
      <c r="A784" s="3"/>
      <c r="B784" s="3"/>
      <c r="C784" s="3"/>
      <c r="D784" s="3"/>
      <c r="E784" s="3"/>
      <c r="F784" s="3"/>
    </row>
    <row r="785" ht="15.75" customHeight="1">
      <c r="A785" s="3"/>
      <c r="B785" s="3"/>
      <c r="C785" s="3"/>
      <c r="D785" s="3"/>
      <c r="E785" s="3"/>
      <c r="F785" s="3"/>
    </row>
    <row r="786" ht="15.75" customHeight="1">
      <c r="A786" s="3"/>
      <c r="B786" s="3"/>
      <c r="C786" s="3"/>
      <c r="D786" s="3"/>
      <c r="E786" s="3"/>
      <c r="F786" s="3"/>
    </row>
    <row r="787" ht="15.75" customHeight="1">
      <c r="A787" s="3"/>
      <c r="B787" s="3"/>
      <c r="C787" s="3"/>
      <c r="D787" s="3"/>
      <c r="E787" s="3"/>
      <c r="F787" s="3"/>
    </row>
    <row r="788" ht="15.75" customHeight="1">
      <c r="A788" s="3"/>
      <c r="B788" s="3"/>
      <c r="C788" s="3"/>
      <c r="D788" s="3"/>
      <c r="E788" s="3"/>
      <c r="F788" s="3"/>
    </row>
    <row r="789" ht="15.75" customHeight="1">
      <c r="A789" s="3"/>
      <c r="B789" s="3"/>
      <c r="C789" s="3"/>
      <c r="D789" s="3"/>
      <c r="E789" s="3"/>
      <c r="F789" s="3"/>
    </row>
    <row r="790" ht="15.75" customHeight="1">
      <c r="A790" s="3"/>
      <c r="B790" s="3"/>
      <c r="C790" s="3"/>
      <c r="D790" s="3"/>
      <c r="E790" s="3"/>
      <c r="F790" s="3"/>
    </row>
    <row r="791" ht="15.75" customHeight="1">
      <c r="A791" s="3"/>
      <c r="B791" s="3"/>
      <c r="C791" s="3"/>
      <c r="D791" s="3"/>
      <c r="E791" s="3"/>
      <c r="F791" s="3"/>
    </row>
    <row r="792" ht="15.75" customHeight="1">
      <c r="A792" s="3"/>
      <c r="B792" s="3"/>
      <c r="C792" s="3"/>
      <c r="D792" s="3"/>
      <c r="E792" s="3"/>
      <c r="F792" s="3"/>
    </row>
    <row r="793" ht="15.75" customHeight="1">
      <c r="A793" s="3"/>
      <c r="B793" s="3"/>
      <c r="C793" s="3"/>
      <c r="D793" s="3"/>
      <c r="E793" s="3"/>
      <c r="F793" s="3"/>
    </row>
    <row r="794" ht="15.75" customHeight="1">
      <c r="A794" s="3"/>
      <c r="B794" s="3"/>
      <c r="C794" s="3"/>
      <c r="D794" s="3"/>
      <c r="E794" s="3"/>
      <c r="F794" s="3"/>
    </row>
    <row r="795" ht="15.75" customHeight="1">
      <c r="A795" s="3"/>
      <c r="B795" s="3"/>
      <c r="C795" s="3"/>
      <c r="D795" s="3"/>
      <c r="E795" s="3"/>
      <c r="F795" s="3"/>
    </row>
    <row r="796" ht="15.75" customHeight="1">
      <c r="A796" s="3"/>
      <c r="B796" s="3"/>
      <c r="C796" s="3"/>
      <c r="D796" s="3"/>
      <c r="E796" s="3"/>
      <c r="F796" s="3"/>
    </row>
    <row r="797" ht="15.75" customHeight="1">
      <c r="A797" s="3"/>
      <c r="B797" s="3"/>
      <c r="C797" s="3"/>
      <c r="D797" s="3"/>
      <c r="E797" s="3"/>
      <c r="F797" s="3"/>
    </row>
    <row r="798" ht="15.75" customHeight="1">
      <c r="A798" s="3"/>
      <c r="B798" s="3"/>
      <c r="C798" s="3"/>
      <c r="D798" s="3"/>
      <c r="E798" s="3"/>
      <c r="F798" s="3"/>
    </row>
    <row r="799" ht="15.75" customHeight="1">
      <c r="A799" s="3"/>
      <c r="B799" s="3"/>
      <c r="C799" s="3"/>
      <c r="D799" s="3"/>
      <c r="E799" s="3"/>
      <c r="F799" s="3"/>
    </row>
    <row r="800" ht="15.75" customHeight="1">
      <c r="A800" s="3"/>
      <c r="B800" s="3"/>
      <c r="C800" s="3"/>
      <c r="D800" s="3"/>
      <c r="E800" s="3"/>
      <c r="F800" s="3"/>
    </row>
    <row r="801" ht="15.75" customHeight="1">
      <c r="A801" s="3"/>
      <c r="B801" s="3"/>
      <c r="C801" s="3"/>
      <c r="D801" s="3"/>
      <c r="E801" s="3"/>
      <c r="F801" s="3"/>
    </row>
    <row r="802" ht="15.75" customHeight="1">
      <c r="A802" s="3"/>
      <c r="B802" s="3"/>
      <c r="C802" s="3"/>
      <c r="D802" s="3"/>
      <c r="E802" s="3"/>
      <c r="F802" s="3"/>
    </row>
    <row r="803" ht="15.75" customHeight="1">
      <c r="A803" s="3"/>
      <c r="B803" s="3"/>
      <c r="C803" s="3"/>
      <c r="D803" s="3"/>
      <c r="E803" s="3"/>
      <c r="F803" s="3"/>
    </row>
    <row r="804" ht="15.75" customHeight="1">
      <c r="A804" s="3"/>
      <c r="B804" s="3"/>
      <c r="C804" s="3"/>
      <c r="D804" s="3"/>
      <c r="E804" s="3"/>
      <c r="F804" s="3"/>
    </row>
    <row r="805" ht="15.75" customHeight="1">
      <c r="A805" s="3"/>
      <c r="B805" s="3"/>
      <c r="C805" s="3"/>
      <c r="D805" s="3"/>
      <c r="E805" s="3"/>
      <c r="F805" s="3"/>
    </row>
    <row r="806" ht="15.75" customHeight="1">
      <c r="A806" s="3"/>
      <c r="B806" s="3"/>
      <c r="C806" s="3"/>
      <c r="D806" s="3"/>
      <c r="E806" s="3"/>
      <c r="F806" s="3"/>
    </row>
    <row r="807" ht="15.75" customHeight="1">
      <c r="A807" s="3"/>
      <c r="B807" s="3"/>
      <c r="C807" s="3"/>
      <c r="D807" s="3"/>
      <c r="E807" s="3"/>
      <c r="F807" s="3"/>
    </row>
    <row r="808" ht="15.75" customHeight="1">
      <c r="A808" s="3"/>
      <c r="B808" s="3"/>
      <c r="C808" s="3"/>
      <c r="D808" s="3"/>
      <c r="E808" s="3"/>
      <c r="F808" s="3"/>
    </row>
    <row r="809" ht="15.75" customHeight="1">
      <c r="A809" s="3"/>
      <c r="B809" s="3"/>
      <c r="C809" s="3"/>
      <c r="D809" s="3"/>
      <c r="E809" s="3"/>
      <c r="F809" s="3"/>
    </row>
    <row r="810" ht="15.75" customHeight="1">
      <c r="A810" s="3"/>
      <c r="B810" s="3"/>
      <c r="C810" s="3"/>
      <c r="D810" s="3"/>
      <c r="E810" s="3"/>
      <c r="F810" s="3"/>
    </row>
    <row r="811" ht="15.75" customHeight="1">
      <c r="A811" s="3"/>
      <c r="B811" s="3"/>
      <c r="C811" s="3"/>
      <c r="D811" s="3"/>
      <c r="E811" s="3"/>
      <c r="F811" s="3"/>
    </row>
    <row r="812" ht="15.75" customHeight="1">
      <c r="A812" s="3"/>
      <c r="B812" s="3"/>
      <c r="C812" s="3"/>
      <c r="D812" s="3"/>
      <c r="E812" s="3"/>
      <c r="F812" s="3"/>
    </row>
    <row r="813" ht="15.75" customHeight="1">
      <c r="A813" s="3"/>
      <c r="B813" s="3"/>
      <c r="C813" s="3"/>
      <c r="D813" s="3"/>
      <c r="E813" s="3"/>
      <c r="F813" s="3"/>
    </row>
    <row r="814" ht="15.75" customHeight="1">
      <c r="A814" s="3"/>
      <c r="B814" s="3"/>
      <c r="C814" s="3"/>
      <c r="D814" s="3"/>
      <c r="E814" s="3"/>
      <c r="F814" s="3"/>
    </row>
    <row r="815" ht="15.75" customHeight="1">
      <c r="A815" s="3"/>
      <c r="B815" s="3"/>
      <c r="C815" s="3"/>
      <c r="D815" s="3"/>
      <c r="E815" s="3"/>
      <c r="F815" s="3"/>
    </row>
    <row r="816" ht="15.75" customHeight="1">
      <c r="A816" s="3"/>
      <c r="B816" s="3"/>
      <c r="C816" s="3"/>
      <c r="D816" s="3"/>
      <c r="E816" s="3"/>
      <c r="F816" s="3"/>
    </row>
    <row r="817" ht="15.75" customHeight="1">
      <c r="A817" s="3"/>
      <c r="B817" s="3"/>
      <c r="C817" s="3"/>
      <c r="D817" s="3"/>
      <c r="E817" s="3"/>
      <c r="F817" s="3"/>
    </row>
    <row r="818" ht="15.75" customHeight="1">
      <c r="A818" s="3"/>
      <c r="B818" s="3"/>
      <c r="C818" s="3"/>
      <c r="D818" s="3"/>
      <c r="E818" s="3"/>
      <c r="F818" s="3"/>
    </row>
    <row r="819" ht="15.75" customHeight="1">
      <c r="A819" s="3"/>
      <c r="B819" s="3"/>
      <c r="C819" s="3"/>
      <c r="D819" s="3"/>
      <c r="E819" s="3"/>
      <c r="F819" s="3"/>
    </row>
    <row r="820" ht="15.75" customHeight="1">
      <c r="A820" s="3"/>
      <c r="B820" s="3"/>
      <c r="C820" s="3"/>
      <c r="D820" s="3"/>
      <c r="E820" s="3"/>
      <c r="F820" s="3"/>
    </row>
    <row r="821" ht="15.75" customHeight="1">
      <c r="A821" s="3"/>
      <c r="B821" s="3"/>
      <c r="C821" s="3"/>
      <c r="D821" s="3"/>
      <c r="E821" s="3"/>
      <c r="F821" s="3"/>
    </row>
    <row r="822" ht="15.75" customHeight="1">
      <c r="A822" s="3"/>
      <c r="B822" s="3"/>
      <c r="C822" s="3"/>
      <c r="D822" s="3"/>
      <c r="E822" s="3"/>
      <c r="F822" s="3"/>
    </row>
    <row r="823" ht="15.75" customHeight="1">
      <c r="A823" s="3"/>
      <c r="B823" s="3"/>
      <c r="C823" s="3"/>
      <c r="D823" s="3"/>
      <c r="E823" s="3"/>
      <c r="F823" s="3"/>
    </row>
    <row r="824" ht="15.75" customHeight="1">
      <c r="A824" s="3"/>
      <c r="B824" s="3"/>
      <c r="C824" s="3"/>
      <c r="D824" s="3"/>
      <c r="E824" s="3"/>
      <c r="F824" s="3"/>
    </row>
    <row r="825" ht="15.75" customHeight="1">
      <c r="A825" s="3"/>
      <c r="B825" s="3"/>
      <c r="C825" s="3"/>
      <c r="D825" s="3"/>
      <c r="E825" s="3"/>
      <c r="F825" s="3"/>
    </row>
    <row r="826" ht="15.75" customHeight="1">
      <c r="A826" s="3"/>
      <c r="B826" s="3"/>
      <c r="C826" s="3"/>
      <c r="D826" s="3"/>
      <c r="E826" s="3"/>
      <c r="F826" s="3"/>
    </row>
    <row r="827" ht="15.75" customHeight="1">
      <c r="A827" s="3"/>
      <c r="B827" s="3"/>
      <c r="C827" s="3"/>
      <c r="D827" s="3"/>
      <c r="E827" s="3"/>
      <c r="F827" s="3"/>
    </row>
    <row r="828" ht="15.75" customHeight="1">
      <c r="A828" s="3"/>
      <c r="B828" s="3"/>
      <c r="C828" s="3"/>
      <c r="D828" s="3"/>
      <c r="E828" s="3"/>
      <c r="F828" s="3"/>
    </row>
    <row r="829" ht="15.75" customHeight="1">
      <c r="A829" s="3"/>
      <c r="B829" s="3"/>
      <c r="C829" s="3"/>
      <c r="D829" s="3"/>
      <c r="E829" s="3"/>
      <c r="F829" s="3"/>
    </row>
    <row r="830" ht="15.75" customHeight="1">
      <c r="A830" s="3"/>
      <c r="B830" s="3"/>
      <c r="C830" s="3"/>
      <c r="D830" s="3"/>
      <c r="E830" s="3"/>
      <c r="F830" s="3"/>
    </row>
    <row r="831" ht="15.75" customHeight="1">
      <c r="A831" s="3"/>
      <c r="B831" s="3"/>
      <c r="C831" s="3"/>
      <c r="D831" s="3"/>
      <c r="E831" s="3"/>
      <c r="F831" s="3"/>
    </row>
    <row r="832" ht="15.75" customHeight="1">
      <c r="A832" s="3"/>
      <c r="B832" s="3"/>
      <c r="C832" s="3"/>
      <c r="D832" s="3"/>
      <c r="E832" s="3"/>
      <c r="F832" s="3"/>
    </row>
    <row r="833" ht="15.75" customHeight="1">
      <c r="A833" s="3"/>
      <c r="B833" s="3"/>
      <c r="C833" s="3"/>
      <c r="D833" s="3"/>
      <c r="E833" s="3"/>
      <c r="F833" s="3"/>
    </row>
    <row r="834" ht="15.75" customHeight="1">
      <c r="A834" s="3"/>
      <c r="B834" s="3"/>
      <c r="C834" s="3"/>
      <c r="D834" s="3"/>
      <c r="E834" s="3"/>
      <c r="F834" s="3"/>
    </row>
    <row r="835" ht="15.75" customHeight="1">
      <c r="A835" s="3"/>
      <c r="B835" s="3"/>
      <c r="C835" s="3"/>
      <c r="D835" s="3"/>
      <c r="E835" s="3"/>
      <c r="F835" s="3"/>
    </row>
    <row r="836" ht="15.75" customHeight="1">
      <c r="A836" s="3"/>
      <c r="B836" s="3"/>
      <c r="C836" s="3"/>
      <c r="D836" s="3"/>
      <c r="E836" s="3"/>
      <c r="F836" s="3"/>
    </row>
    <row r="837" ht="15.75" customHeight="1">
      <c r="A837" s="3"/>
      <c r="B837" s="3"/>
      <c r="C837" s="3"/>
      <c r="D837" s="3"/>
      <c r="E837" s="3"/>
      <c r="F837" s="3"/>
    </row>
    <row r="838" ht="15.75" customHeight="1">
      <c r="A838" s="3"/>
      <c r="B838" s="3"/>
      <c r="C838" s="3"/>
      <c r="D838" s="3"/>
      <c r="E838" s="3"/>
      <c r="F838" s="3"/>
    </row>
    <row r="839" ht="15.75" customHeight="1">
      <c r="A839" s="3"/>
      <c r="B839" s="3"/>
      <c r="C839" s="3"/>
      <c r="D839" s="3"/>
      <c r="E839" s="3"/>
      <c r="F839" s="3"/>
    </row>
    <row r="840" ht="15.75" customHeight="1">
      <c r="A840" s="3"/>
      <c r="B840" s="3"/>
      <c r="C840" s="3"/>
      <c r="D840" s="3"/>
      <c r="E840" s="3"/>
      <c r="F840" s="3"/>
    </row>
    <row r="841" ht="15.75" customHeight="1">
      <c r="A841" s="3"/>
      <c r="B841" s="3"/>
      <c r="C841" s="3"/>
      <c r="D841" s="3"/>
      <c r="E841" s="3"/>
      <c r="F841" s="3"/>
    </row>
    <row r="842" ht="15.75" customHeight="1">
      <c r="A842" s="3"/>
      <c r="B842" s="3"/>
      <c r="C842" s="3"/>
      <c r="D842" s="3"/>
      <c r="E842" s="3"/>
      <c r="F842" s="3"/>
    </row>
    <row r="843" ht="15.75" customHeight="1">
      <c r="A843" s="3"/>
      <c r="B843" s="3"/>
      <c r="C843" s="3"/>
      <c r="D843" s="3"/>
      <c r="E843" s="3"/>
      <c r="F843" s="3"/>
    </row>
    <row r="844" ht="15.75" customHeight="1">
      <c r="A844" s="3"/>
      <c r="B844" s="3"/>
      <c r="C844" s="3"/>
      <c r="D844" s="3"/>
      <c r="E844" s="3"/>
      <c r="F844" s="3"/>
    </row>
    <row r="845" ht="15.75" customHeight="1">
      <c r="A845" s="3"/>
      <c r="B845" s="3"/>
      <c r="C845" s="3"/>
      <c r="D845" s="3"/>
      <c r="E845" s="3"/>
      <c r="F845" s="3"/>
    </row>
    <row r="846" ht="15.75" customHeight="1">
      <c r="A846" s="3"/>
      <c r="B846" s="3"/>
      <c r="C846" s="3"/>
      <c r="D846" s="3"/>
      <c r="E846" s="3"/>
      <c r="F846" s="3"/>
    </row>
    <row r="847" ht="15.75" customHeight="1">
      <c r="A847" s="3"/>
      <c r="B847" s="3"/>
      <c r="C847" s="3"/>
      <c r="D847" s="3"/>
      <c r="E847" s="3"/>
      <c r="F847" s="3"/>
    </row>
    <row r="848" ht="15.75" customHeight="1">
      <c r="A848" s="3"/>
      <c r="B848" s="3"/>
      <c r="C848" s="3"/>
      <c r="D848" s="3"/>
      <c r="E848" s="3"/>
      <c r="F848" s="3"/>
    </row>
    <row r="849" ht="15.75" customHeight="1">
      <c r="A849" s="3"/>
      <c r="B849" s="3"/>
      <c r="C849" s="3"/>
      <c r="D849" s="3"/>
      <c r="E849" s="3"/>
      <c r="F849" s="3"/>
    </row>
    <row r="850" ht="15.75" customHeight="1">
      <c r="A850" s="3"/>
      <c r="B850" s="3"/>
      <c r="C850" s="3"/>
      <c r="D850" s="3"/>
      <c r="E850" s="3"/>
      <c r="F850" s="3"/>
    </row>
    <row r="851" ht="15.75" customHeight="1">
      <c r="A851" s="3"/>
      <c r="B851" s="3"/>
      <c r="C851" s="3"/>
      <c r="D851" s="3"/>
      <c r="E851" s="3"/>
      <c r="F851" s="3"/>
    </row>
    <row r="852" ht="15.75" customHeight="1">
      <c r="A852" s="3"/>
      <c r="B852" s="3"/>
      <c r="C852" s="3"/>
      <c r="D852" s="3"/>
      <c r="E852" s="3"/>
      <c r="F852" s="3"/>
    </row>
    <row r="853" ht="15.75" customHeight="1">
      <c r="A853" s="3"/>
      <c r="B853" s="3"/>
      <c r="C853" s="3"/>
      <c r="D853" s="3"/>
      <c r="E853" s="3"/>
      <c r="F853" s="3"/>
    </row>
    <row r="854" ht="15.75" customHeight="1">
      <c r="A854" s="3"/>
      <c r="B854" s="3"/>
      <c r="C854" s="3"/>
      <c r="D854" s="3"/>
      <c r="E854" s="3"/>
      <c r="F854" s="3"/>
    </row>
    <row r="855" ht="15.75" customHeight="1">
      <c r="A855" s="3"/>
      <c r="B855" s="3"/>
      <c r="C855" s="3"/>
      <c r="D855" s="3"/>
      <c r="E855" s="3"/>
      <c r="F855" s="3"/>
    </row>
    <row r="856" ht="15.75" customHeight="1">
      <c r="A856" s="3"/>
      <c r="B856" s="3"/>
      <c r="C856" s="3"/>
      <c r="D856" s="3"/>
      <c r="E856" s="3"/>
      <c r="F856" s="3"/>
    </row>
    <row r="857" ht="15.75" customHeight="1">
      <c r="A857" s="3"/>
      <c r="B857" s="3"/>
      <c r="C857" s="3"/>
      <c r="D857" s="3"/>
      <c r="E857" s="3"/>
      <c r="F857" s="3"/>
    </row>
    <row r="858" ht="15.75" customHeight="1">
      <c r="A858" s="3"/>
      <c r="B858" s="3"/>
      <c r="C858" s="3"/>
      <c r="D858" s="3"/>
      <c r="E858" s="3"/>
      <c r="F858" s="3"/>
    </row>
    <row r="859" ht="15.75" customHeight="1">
      <c r="A859" s="3"/>
      <c r="B859" s="3"/>
      <c r="C859" s="3"/>
      <c r="D859" s="3"/>
      <c r="E859" s="3"/>
      <c r="F859" s="3"/>
    </row>
    <row r="860" ht="15.75" customHeight="1">
      <c r="A860" s="3"/>
      <c r="B860" s="3"/>
      <c r="C860" s="3"/>
      <c r="D860" s="3"/>
      <c r="E860" s="3"/>
      <c r="F860" s="3"/>
    </row>
    <row r="861" ht="15.75" customHeight="1">
      <c r="A861" s="3"/>
      <c r="B861" s="3"/>
      <c r="C861" s="3"/>
      <c r="D861" s="3"/>
      <c r="E861" s="3"/>
      <c r="F861" s="3"/>
    </row>
    <row r="862" ht="15.75" customHeight="1">
      <c r="A862" s="3"/>
      <c r="B862" s="3"/>
      <c r="C862" s="3"/>
      <c r="D862" s="3"/>
      <c r="E862" s="3"/>
      <c r="F862" s="3"/>
    </row>
    <row r="863" ht="15.75" customHeight="1">
      <c r="A863" s="3"/>
      <c r="B863" s="3"/>
      <c r="C863" s="3"/>
      <c r="D863" s="3"/>
      <c r="E863" s="3"/>
      <c r="F863" s="3"/>
    </row>
    <row r="864" ht="15.75" customHeight="1">
      <c r="A864" s="3"/>
      <c r="B864" s="3"/>
      <c r="C864" s="3"/>
      <c r="D864" s="3"/>
      <c r="E864" s="3"/>
      <c r="F864" s="3"/>
    </row>
    <row r="865" ht="15.75" customHeight="1">
      <c r="A865" s="3"/>
      <c r="B865" s="3"/>
      <c r="C865" s="3"/>
      <c r="D865" s="3"/>
      <c r="E865" s="3"/>
      <c r="F865" s="3"/>
    </row>
    <row r="866" ht="15.75" customHeight="1">
      <c r="A866" s="3"/>
      <c r="B866" s="3"/>
      <c r="C866" s="3"/>
      <c r="D866" s="3"/>
      <c r="E866" s="3"/>
      <c r="F866" s="3"/>
    </row>
    <row r="867" ht="15.75" customHeight="1">
      <c r="A867" s="3"/>
      <c r="B867" s="3"/>
      <c r="C867" s="3"/>
      <c r="D867" s="3"/>
      <c r="E867" s="3"/>
      <c r="F867" s="3"/>
    </row>
    <row r="868" ht="15.75" customHeight="1">
      <c r="A868" s="3"/>
      <c r="B868" s="3"/>
      <c r="C868" s="3"/>
      <c r="D868" s="3"/>
      <c r="E868" s="3"/>
      <c r="F868" s="3"/>
    </row>
    <row r="869" ht="15.75" customHeight="1">
      <c r="A869" s="3"/>
      <c r="B869" s="3"/>
      <c r="C869" s="3"/>
      <c r="D869" s="3"/>
      <c r="E869" s="3"/>
      <c r="F869" s="3"/>
    </row>
    <row r="870" ht="15.75" customHeight="1">
      <c r="A870" s="3"/>
      <c r="B870" s="3"/>
      <c r="C870" s="3"/>
      <c r="D870" s="3"/>
      <c r="E870" s="3"/>
      <c r="F870" s="3"/>
    </row>
    <row r="871" ht="15.75" customHeight="1">
      <c r="A871" s="3"/>
      <c r="B871" s="3"/>
      <c r="C871" s="3"/>
      <c r="D871" s="3"/>
      <c r="E871" s="3"/>
      <c r="F871" s="3"/>
    </row>
    <row r="872" ht="15.75" customHeight="1">
      <c r="A872" s="3"/>
      <c r="B872" s="3"/>
      <c r="C872" s="3"/>
      <c r="D872" s="3"/>
      <c r="E872" s="3"/>
      <c r="F872" s="3"/>
    </row>
    <row r="873" ht="15.75" customHeight="1">
      <c r="A873" s="3"/>
      <c r="B873" s="3"/>
      <c r="C873" s="3"/>
      <c r="D873" s="3"/>
      <c r="E873" s="3"/>
      <c r="F873" s="3"/>
    </row>
    <row r="874" ht="15.75" customHeight="1">
      <c r="A874" s="3"/>
      <c r="B874" s="3"/>
      <c r="C874" s="3"/>
      <c r="D874" s="3"/>
      <c r="E874" s="3"/>
      <c r="F874" s="3"/>
    </row>
    <row r="875" ht="15.75" customHeight="1">
      <c r="A875" s="3"/>
      <c r="B875" s="3"/>
      <c r="C875" s="3"/>
      <c r="D875" s="3"/>
      <c r="E875" s="3"/>
      <c r="F875" s="3"/>
    </row>
    <row r="876" ht="15.75" customHeight="1">
      <c r="A876" s="3"/>
      <c r="B876" s="3"/>
      <c r="C876" s="3"/>
      <c r="D876" s="3"/>
      <c r="E876" s="3"/>
      <c r="F876" s="3"/>
    </row>
    <row r="877" ht="15.75" customHeight="1">
      <c r="A877" s="3"/>
      <c r="B877" s="3"/>
      <c r="C877" s="3"/>
      <c r="D877" s="3"/>
      <c r="E877" s="3"/>
      <c r="F877" s="3"/>
    </row>
    <row r="878" ht="15.75" customHeight="1">
      <c r="A878" s="3"/>
      <c r="B878" s="3"/>
      <c r="C878" s="3"/>
      <c r="D878" s="3"/>
      <c r="E878" s="3"/>
      <c r="F878" s="3"/>
    </row>
    <row r="879" ht="15.75" customHeight="1">
      <c r="A879" s="3"/>
      <c r="B879" s="3"/>
      <c r="C879" s="3"/>
      <c r="D879" s="3"/>
      <c r="E879" s="3"/>
      <c r="F879" s="3"/>
    </row>
    <row r="880" ht="15.75" customHeight="1">
      <c r="A880" s="3"/>
      <c r="B880" s="3"/>
      <c r="C880" s="3"/>
      <c r="D880" s="3"/>
      <c r="E880" s="3"/>
      <c r="F880" s="3"/>
    </row>
    <row r="881" ht="15.75" customHeight="1">
      <c r="A881" s="3"/>
      <c r="B881" s="3"/>
      <c r="C881" s="3"/>
      <c r="D881" s="3"/>
      <c r="E881" s="3"/>
      <c r="F881" s="3"/>
    </row>
    <row r="882" ht="15.75" customHeight="1">
      <c r="A882" s="3"/>
      <c r="B882" s="3"/>
      <c r="C882" s="3"/>
      <c r="D882" s="3"/>
      <c r="E882" s="3"/>
      <c r="F882" s="3"/>
    </row>
    <row r="883" ht="15.75" customHeight="1">
      <c r="A883" s="3"/>
      <c r="B883" s="3"/>
      <c r="C883" s="3"/>
      <c r="D883" s="3"/>
      <c r="E883" s="3"/>
      <c r="F883" s="3"/>
    </row>
    <row r="884" ht="15.75" customHeight="1">
      <c r="A884" s="3"/>
      <c r="B884" s="3"/>
      <c r="C884" s="3"/>
      <c r="D884" s="3"/>
      <c r="E884" s="3"/>
      <c r="F884" s="3"/>
    </row>
    <row r="885" ht="15.75" customHeight="1">
      <c r="A885" s="3"/>
      <c r="B885" s="3"/>
      <c r="C885" s="3"/>
      <c r="D885" s="3"/>
      <c r="E885" s="3"/>
      <c r="F885" s="3"/>
    </row>
    <row r="886" ht="15.75" customHeight="1">
      <c r="A886" s="3"/>
      <c r="B886" s="3"/>
      <c r="C886" s="3"/>
      <c r="D886" s="3"/>
      <c r="E886" s="3"/>
      <c r="F886" s="3"/>
    </row>
    <row r="887" ht="15.75" customHeight="1">
      <c r="A887" s="3"/>
      <c r="B887" s="3"/>
      <c r="C887" s="3"/>
      <c r="D887" s="3"/>
      <c r="E887" s="3"/>
      <c r="F887" s="3"/>
    </row>
    <row r="888" ht="15.75" customHeight="1">
      <c r="A888" s="3"/>
      <c r="B888" s="3"/>
      <c r="C888" s="3"/>
      <c r="D888" s="3"/>
      <c r="E888" s="3"/>
      <c r="F888" s="3"/>
    </row>
    <row r="889" ht="15.75" customHeight="1">
      <c r="A889" s="3"/>
      <c r="B889" s="3"/>
      <c r="C889" s="3"/>
      <c r="D889" s="3"/>
      <c r="E889" s="3"/>
      <c r="F889" s="3"/>
    </row>
    <row r="890" ht="15.75" customHeight="1">
      <c r="A890" s="3"/>
      <c r="B890" s="3"/>
      <c r="C890" s="3"/>
      <c r="D890" s="3"/>
      <c r="E890" s="3"/>
      <c r="F890" s="3"/>
    </row>
    <row r="891" ht="15.75" customHeight="1">
      <c r="A891" s="3"/>
      <c r="B891" s="3"/>
      <c r="C891" s="3"/>
      <c r="D891" s="3"/>
      <c r="E891" s="3"/>
      <c r="F891" s="3"/>
    </row>
    <row r="892" ht="15.75" customHeight="1">
      <c r="A892" s="3"/>
      <c r="B892" s="3"/>
      <c r="C892" s="3"/>
      <c r="D892" s="3"/>
      <c r="E892" s="3"/>
      <c r="F892" s="3"/>
    </row>
    <row r="893" ht="15.75" customHeight="1">
      <c r="A893" s="3"/>
      <c r="B893" s="3"/>
      <c r="C893" s="3"/>
      <c r="D893" s="3"/>
      <c r="E893" s="3"/>
      <c r="F893" s="3"/>
    </row>
    <row r="894" ht="15.75" customHeight="1">
      <c r="A894" s="3"/>
      <c r="B894" s="3"/>
      <c r="C894" s="3"/>
      <c r="D894" s="3"/>
      <c r="E894" s="3"/>
      <c r="F894" s="3"/>
    </row>
    <row r="895" ht="15.75" customHeight="1">
      <c r="A895" s="3"/>
      <c r="B895" s="3"/>
      <c r="C895" s="3"/>
      <c r="D895" s="3"/>
      <c r="E895" s="3"/>
      <c r="F895" s="3"/>
    </row>
    <row r="896" ht="15.75" customHeight="1">
      <c r="A896" s="3"/>
      <c r="B896" s="3"/>
      <c r="C896" s="3"/>
      <c r="D896" s="3"/>
      <c r="E896" s="3"/>
      <c r="F896" s="3"/>
    </row>
    <row r="897" ht="15.75" customHeight="1">
      <c r="A897" s="3"/>
      <c r="B897" s="3"/>
      <c r="C897" s="3"/>
      <c r="D897" s="3"/>
      <c r="E897" s="3"/>
      <c r="F897" s="3"/>
    </row>
    <row r="898" ht="15.75" customHeight="1">
      <c r="A898" s="3"/>
      <c r="B898" s="3"/>
      <c r="C898" s="3"/>
      <c r="D898" s="3"/>
      <c r="E898" s="3"/>
      <c r="F898" s="3"/>
    </row>
    <row r="899" ht="15.75" customHeight="1">
      <c r="A899" s="3"/>
      <c r="B899" s="3"/>
      <c r="C899" s="3"/>
      <c r="D899" s="3"/>
      <c r="E899" s="3"/>
      <c r="F899" s="3"/>
    </row>
    <row r="900" ht="15.75" customHeight="1">
      <c r="A900" s="3"/>
      <c r="B900" s="3"/>
      <c r="C900" s="3"/>
      <c r="D900" s="3"/>
      <c r="E900" s="3"/>
      <c r="F900" s="3"/>
    </row>
    <row r="901" ht="15.75" customHeight="1">
      <c r="A901" s="3"/>
      <c r="B901" s="3"/>
      <c r="C901" s="3"/>
      <c r="D901" s="3"/>
      <c r="E901" s="3"/>
      <c r="F901" s="3"/>
    </row>
    <row r="902" ht="15.75" customHeight="1">
      <c r="A902" s="3"/>
      <c r="B902" s="3"/>
      <c r="C902" s="3"/>
      <c r="D902" s="3"/>
      <c r="E902" s="3"/>
      <c r="F902" s="3"/>
    </row>
    <row r="903" ht="15.75" customHeight="1">
      <c r="A903" s="3"/>
      <c r="B903" s="3"/>
      <c r="C903" s="3"/>
      <c r="D903" s="3"/>
      <c r="E903" s="3"/>
      <c r="F903" s="3"/>
    </row>
    <row r="904" ht="15.75" customHeight="1">
      <c r="A904" s="3"/>
      <c r="B904" s="3"/>
      <c r="C904" s="3"/>
      <c r="D904" s="3"/>
      <c r="E904" s="3"/>
      <c r="F904" s="3"/>
    </row>
    <row r="905" ht="15.75" customHeight="1">
      <c r="A905" s="3"/>
      <c r="B905" s="3"/>
      <c r="C905" s="3"/>
      <c r="D905" s="3"/>
      <c r="E905" s="3"/>
      <c r="F905" s="3"/>
    </row>
    <row r="906" ht="15.75" customHeight="1">
      <c r="A906" s="3"/>
      <c r="B906" s="3"/>
      <c r="C906" s="3"/>
      <c r="D906" s="3"/>
      <c r="E906" s="3"/>
      <c r="F906" s="3"/>
    </row>
    <row r="907" ht="15.75" customHeight="1">
      <c r="A907" s="3"/>
      <c r="B907" s="3"/>
      <c r="C907" s="3"/>
      <c r="D907" s="3"/>
      <c r="E907" s="3"/>
      <c r="F907" s="3"/>
    </row>
    <row r="908" ht="15.75" customHeight="1">
      <c r="A908" s="3"/>
      <c r="B908" s="3"/>
      <c r="C908" s="3"/>
      <c r="D908" s="3"/>
      <c r="E908" s="3"/>
      <c r="F908" s="3"/>
    </row>
    <row r="909" ht="15.75" customHeight="1">
      <c r="A909" s="3"/>
      <c r="B909" s="3"/>
      <c r="C909" s="3"/>
      <c r="D909" s="3"/>
      <c r="E909" s="3"/>
      <c r="F909" s="3"/>
    </row>
    <row r="910" ht="15.75" customHeight="1">
      <c r="A910" s="3"/>
      <c r="B910" s="3"/>
      <c r="C910" s="3"/>
      <c r="D910" s="3"/>
      <c r="E910" s="3"/>
      <c r="F910" s="3"/>
    </row>
    <row r="911" ht="15.75" customHeight="1">
      <c r="A911" s="3"/>
      <c r="B911" s="3"/>
      <c r="C911" s="3"/>
      <c r="D911" s="3"/>
      <c r="E911" s="3"/>
      <c r="F911" s="3"/>
    </row>
    <row r="912" ht="15.75" customHeight="1">
      <c r="A912" s="3"/>
      <c r="B912" s="3"/>
      <c r="C912" s="3"/>
      <c r="D912" s="3"/>
      <c r="E912" s="3"/>
      <c r="F912" s="3"/>
    </row>
    <row r="913" ht="15.75" customHeight="1">
      <c r="A913" s="3"/>
      <c r="B913" s="3"/>
      <c r="C913" s="3"/>
      <c r="D913" s="3"/>
      <c r="E913" s="3"/>
      <c r="F913" s="3"/>
    </row>
    <row r="914" ht="15.75" customHeight="1">
      <c r="A914" s="3"/>
      <c r="B914" s="3"/>
      <c r="C914" s="3"/>
      <c r="D914" s="3"/>
      <c r="E914" s="3"/>
      <c r="F914" s="3"/>
    </row>
    <row r="915" ht="15.75" customHeight="1">
      <c r="A915" s="3"/>
      <c r="B915" s="3"/>
      <c r="C915" s="3"/>
      <c r="D915" s="3"/>
      <c r="E915" s="3"/>
      <c r="F915" s="3"/>
    </row>
    <row r="916" ht="15.75" customHeight="1">
      <c r="A916" s="3"/>
      <c r="B916" s="3"/>
      <c r="C916" s="3"/>
      <c r="D916" s="3"/>
      <c r="E916" s="3"/>
      <c r="F916" s="3"/>
    </row>
    <row r="917" ht="15.75" customHeight="1">
      <c r="A917" s="3"/>
      <c r="B917" s="3"/>
      <c r="C917" s="3"/>
      <c r="D917" s="3"/>
      <c r="E917" s="3"/>
      <c r="F917" s="3"/>
    </row>
    <row r="918" ht="15.75" customHeight="1">
      <c r="A918" s="3"/>
      <c r="B918" s="3"/>
      <c r="C918" s="3"/>
      <c r="D918" s="3"/>
      <c r="E918" s="3"/>
      <c r="F918" s="3"/>
    </row>
    <row r="919" ht="15.75" customHeight="1">
      <c r="A919" s="3"/>
      <c r="B919" s="3"/>
      <c r="C919" s="3"/>
      <c r="D919" s="3"/>
      <c r="E919" s="3"/>
      <c r="F919" s="3"/>
    </row>
    <row r="920" ht="15.75" customHeight="1">
      <c r="A920" s="3"/>
      <c r="B920" s="3"/>
      <c r="C920" s="3"/>
      <c r="D920" s="3"/>
      <c r="E920" s="3"/>
      <c r="F920" s="3"/>
    </row>
    <row r="921" ht="15.75" customHeight="1">
      <c r="A921" s="3"/>
      <c r="B921" s="3"/>
      <c r="C921" s="3"/>
      <c r="D921" s="3"/>
      <c r="E921" s="3"/>
      <c r="F921" s="3"/>
    </row>
    <row r="922" ht="15.75" customHeight="1">
      <c r="A922" s="3"/>
      <c r="B922" s="3"/>
      <c r="C922" s="3"/>
      <c r="D922" s="3"/>
      <c r="E922" s="3"/>
      <c r="F922" s="3"/>
    </row>
    <row r="923" ht="15.75" customHeight="1">
      <c r="A923" s="3"/>
      <c r="B923" s="3"/>
      <c r="C923" s="3"/>
      <c r="D923" s="3"/>
      <c r="E923" s="3"/>
      <c r="F923" s="3"/>
    </row>
    <row r="924" ht="15.75" customHeight="1">
      <c r="A924" s="3"/>
      <c r="B924" s="3"/>
      <c r="C924" s="3"/>
      <c r="D924" s="3"/>
      <c r="E924" s="3"/>
      <c r="F924" s="3"/>
    </row>
    <row r="925" ht="15.75" customHeight="1">
      <c r="A925" s="3"/>
      <c r="B925" s="3"/>
      <c r="C925" s="3"/>
      <c r="D925" s="3"/>
      <c r="E925" s="3"/>
      <c r="F925" s="3"/>
    </row>
    <row r="926" ht="15.75" customHeight="1">
      <c r="A926" s="3"/>
      <c r="B926" s="3"/>
      <c r="C926" s="3"/>
      <c r="D926" s="3"/>
      <c r="E926" s="3"/>
      <c r="F926" s="3"/>
    </row>
    <row r="927" ht="15.75" customHeight="1">
      <c r="A927" s="3"/>
      <c r="B927" s="3"/>
      <c r="C927" s="3"/>
      <c r="D927" s="3"/>
      <c r="E927" s="3"/>
      <c r="F927" s="3"/>
    </row>
    <row r="928" ht="15.75" customHeight="1">
      <c r="A928" s="3"/>
      <c r="B928" s="3"/>
      <c r="C928" s="3"/>
      <c r="D928" s="3"/>
      <c r="E928" s="3"/>
      <c r="F928" s="3"/>
    </row>
    <row r="929" ht="15.75" customHeight="1">
      <c r="A929" s="3"/>
      <c r="B929" s="3"/>
      <c r="C929" s="3"/>
      <c r="D929" s="3"/>
      <c r="E929" s="3"/>
      <c r="F929" s="3"/>
    </row>
    <row r="930" ht="15.75" customHeight="1">
      <c r="A930" s="3"/>
      <c r="B930" s="3"/>
      <c r="C930" s="3"/>
      <c r="D930" s="3"/>
      <c r="E930" s="3"/>
      <c r="F930" s="3"/>
    </row>
    <row r="931" ht="15.75" customHeight="1">
      <c r="A931" s="3"/>
      <c r="B931" s="3"/>
      <c r="C931" s="3"/>
      <c r="D931" s="3"/>
      <c r="E931" s="3"/>
      <c r="F931" s="3"/>
    </row>
    <row r="932" ht="15.75" customHeight="1">
      <c r="A932" s="3"/>
      <c r="B932" s="3"/>
      <c r="C932" s="3"/>
      <c r="D932" s="3"/>
      <c r="E932" s="3"/>
      <c r="F932" s="3"/>
    </row>
    <row r="933" ht="15.75" customHeight="1">
      <c r="A933" s="3"/>
      <c r="B933" s="3"/>
      <c r="C933" s="3"/>
      <c r="D933" s="3"/>
      <c r="E933" s="3"/>
      <c r="F933" s="3"/>
    </row>
    <row r="934" ht="15.75" customHeight="1">
      <c r="A934" s="3"/>
      <c r="B934" s="3"/>
      <c r="C934" s="3"/>
      <c r="D934" s="3"/>
      <c r="E934" s="3"/>
      <c r="F934" s="3"/>
    </row>
    <row r="935" ht="15.75" customHeight="1">
      <c r="A935" s="3"/>
      <c r="B935" s="3"/>
      <c r="C935" s="3"/>
      <c r="D935" s="3"/>
      <c r="E935" s="3"/>
      <c r="F935" s="3"/>
    </row>
    <row r="936" ht="15.75" customHeight="1">
      <c r="A936" s="3"/>
      <c r="B936" s="3"/>
      <c r="C936" s="3"/>
      <c r="D936" s="3"/>
      <c r="E936" s="3"/>
      <c r="F936" s="3"/>
    </row>
    <row r="937" ht="15.75" customHeight="1">
      <c r="A937" s="3"/>
      <c r="B937" s="3"/>
      <c r="C937" s="3"/>
      <c r="D937" s="3"/>
      <c r="E937" s="3"/>
      <c r="F937" s="3"/>
    </row>
    <row r="938" ht="15.75" customHeight="1">
      <c r="A938" s="3"/>
      <c r="B938" s="3"/>
      <c r="C938" s="3"/>
      <c r="D938" s="3"/>
      <c r="E938" s="3"/>
      <c r="F938" s="3"/>
    </row>
    <row r="939" ht="15.75" customHeight="1">
      <c r="A939" s="3"/>
      <c r="B939" s="3"/>
      <c r="C939" s="3"/>
      <c r="D939" s="3"/>
      <c r="E939" s="3"/>
      <c r="F939" s="3"/>
    </row>
    <row r="940" ht="15.75" customHeight="1">
      <c r="A940" s="3"/>
      <c r="B940" s="3"/>
      <c r="C940" s="3"/>
      <c r="D940" s="3"/>
      <c r="E940" s="3"/>
      <c r="F940" s="3"/>
    </row>
    <row r="941" ht="15.75" customHeight="1">
      <c r="A941" s="3"/>
      <c r="B941" s="3"/>
      <c r="C941" s="3"/>
      <c r="D941" s="3"/>
      <c r="E941" s="3"/>
      <c r="F941" s="3"/>
    </row>
    <row r="942" ht="15.75" customHeight="1">
      <c r="A942" s="3"/>
      <c r="B942" s="3"/>
      <c r="C942" s="3"/>
      <c r="D942" s="3"/>
      <c r="E942" s="3"/>
      <c r="F942" s="3"/>
    </row>
    <row r="943" ht="15.75" customHeight="1">
      <c r="A943" s="3"/>
      <c r="B943" s="3"/>
      <c r="C943" s="3"/>
      <c r="D943" s="3"/>
      <c r="E943" s="3"/>
      <c r="F943" s="3"/>
    </row>
    <row r="944" ht="15.75" customHeight="1">
      <c r="A944" s="3"/>
      <c r="B944" s="3"/>
      <c r="C944" s="3"/>
      <c r="D944" s="3"/>
      <c r="E944" s="3"/>
      <c r="F944" s="3"/>
    </row>
    <row r="945" ht="15.75" customHeight="1">
      <c r="A945" s="3"/>
      <c r="B945" s="3"/>
      <c r="C945" s="3"/>
      <c r="D945" s="3"/>
      <c r="E945" s="3"/>
      <c r="F945" s="3"/>
    </row>
    <row r="946" ht="15.75" customHeight="1">
      <c r="A946" s="3"/>
      <c r="B946" s="3"/>
      <c r="C946" s="3"/>
      <c r="D946" s="3"/>
      <c r="E946" s="3"/>
      <c r="F946" s="3"/>
    </row>
    <row r="947" ht="15.75" customHeight="1">
      <c r="A947" s="3"/>
      <c r="B947" s="3"/>
      <c r="C947" s="3"/>
      <c r="D947" s="3"/>
      <c r="E947" s="3"/>
      <c r="F947" s="3"/>
    </row>
    <row r="948" ht="15.75" customHeight="1">
      <c r="A948" s="3"/>
      <c r="B948" s="3"/>
      <c r="C948" s="3"/>
      <c r="D948" s="3"/>
      <c r="E948" s="3"/>
      <c r="F948" s="3"/>
    </row>
    <row r="949" ht="15.75" customHeight="1">
      <c r="A949" s="3"/>
      <c r="B949" s="3"/>
      <c r="C949" s="3"/>
      <c r="D949" s="3"/>
      <c r="E949" s="3"/>
      <c r="F949" s="3"/>
    </row>
    <row r="950" ht="15.75" customHeight="1">
      <c r="A950" s="3"/>
      <c r="B950" s="3"/>
      <c r="C950" s="3"/>
      <c r="D950" s="3"/>
      <c r="E950" s="3"/>
      <c r="F950" s="3"/>
    </row>
    <row r="951" ht="15.75" customHeight="1">
      <c r="A951" s="3"/>
      <c r="B951" s="3"/>
      <c r="C951" s="3"/>
      <c r="D951" s="3"/>
      <c r="E951" s="3"/>
      <c r="F951" s="3"/>
    </row>
    <row r="952" ht="15.75" customHeight="1">
      <c r="A952" s="3"/>
      <c r="B952" s="3"/>
      <c r="C952" s="3"/>
      <c r="D952" s="3"/>
      <c r="E952" s="3"/>
      <c r="F952" s="3"/>
    </row>
    <row r="953" ht="15.75" customHeight="1">
      <c r="A953" s="3"/>
      <c r="B953" s="3"/>
      <c r="C953" s="3"/>
      <c r="D953" s="3"/>
      <c r="E953" s="3"/>
      <c r="F953" s="3"/>
    </row>
    <row r="954" ht="15.75" customHeight="1">
      <c r="A954" s="3"/>
      <c r="B954" s="3"/>
      <c r="C954" s="3"/>
      <c r="D954" s="3"/>
      <c r="E954" s="3"/>
      <c r="F954" s="3"/>
    </row>
    <row r="955" ht="15.75" customHeight="1">
      <c r="A955" s="3"/>
      <c r="B955" s="3"/>
      <c r="C955" s="3"/>
      <c r="D955" s="3"/>
      <c r="E955" s="3"/>
      <c r="F955" s="3"/>
    </row>
    <row r="956" ht="15.75" customHeight="1">
      <c r="A956" s="3"/>
      <c r="B956" s="3"/>
      <c r="C956" s="3"/>
      <c r="D956" s="3"/>
      <c r="E956" s="3"/>
      <c r="F956" s="3"/>
    </row>
    <row r="957" ht="15.75" customHeight="1">
      <c r="A957" s="3"/>
      <c r="B957" s="3"/>
      <c r="C957" s="3"/>
      <c r="D957" s="3"/>
      <c r="E957" s="3"/>
      <c r="F957" s="3"/>
    </row>
    <row r="958" ht="15.75" customHeight="1">
      <c r="A958" s="3"/>
      <c r="B958" s="3"/>
      <c r="C958" s="3"/>
      <c r="D958" s="3"/>
      <c r="E958" s="3"/>
      <c r="F958" s="3"/>
    </row>
    <row r="959" ht="15.75" customHeight="1">
      <c r="A959" s="3"/>
      <c r="B959" s="3"/>
      <c r="C959" s="3"/>
      <c r="D959" s="3"/>
      <c r="E959" s="3"/>
      <c r="F959" s="3"/>
    </row>
    <row r="960" ht="15.75" customHeight="1">
      <c r="A960" s="3"/>
      <c r="B960" s="3"/>
      <c r="C960" s="3"/>
      <c r="D960" s="3"/>
      <c r="E960" s="3"/>
      <c r="F960" s="3"/>
    </row>
    <row r="961" ht="15.75" customHeight="1">
      <c r="A961" s="3"/>
      <c r="B961" s="3"/>
      <c r="C961" s="3"/>
      <c r="D961" s="3"/>
      <c r="E961" s="3"/>
      <c r="F961" s="3"/>
    </row>
    <row r="962" ht="15.75" customHeight="1">
      <c r="A962" s="3"/>
      <c r="B962" s="3"/>
      <c r="C962" s="3"/>
      <c r="D962" s="3"/>
      <c r="E962" s="3"/>
      <c r="F962" s="3"/>
    </row>
    <row r="963" ht="15.75" customHeight="1">
      <c r="A963" s="3"/>
      <c r="B963" s="3"/>
      <c r="C963" s="3"/>
      <c r="D963" s="3"/>
      <c r="E963" s="3"/>
      <c r="F963" s="3"/>
    </row>
    <row r="964" ht="15.75" customHeight="1">
      <c r="A964" s="3"/>
      <c r="B964" s="3"/>
      <c r="C964" s="3"/>
      <c r="D964" s="3"/>
      <c r="E964" s="3"/>
      <c r="F964" s="3"/>
    </row>
    <row r="965" ht="15.75" customHeight="1">
      <c r="A965" s="3"/>
      <c r="B965" s="3"/>
      <c r="C965" s="3"/>
      <c r="D965" s="3"/>
      <c r="E965" s="3"/>
      <c r="F965" s="3"/>
    </row>
    <row r="966" ht="15.75" customHeight="1">
      <c r="A966" s="3"/>
      <c r="B966" s="3"/>
      <c r="C966" s="3"/>
      <c r="D966" s="3"/>
      <c r="E966" s="3"/>
      <c r="F966" s="3"/>
    </row>
    <row r="967" ht="15.75" customHeight="1">
      <c r="A967" s="3"/>
      <c r="B967" s="3"/>
      <c r="C967" s="3"/>
      <c r="D967" s="3"/>
      <c r="E967" s="3"/>
      <c r="F967" s="3"/>
    </row>
    <row r="968" ht="15.75" customHeight="1">
      <c r="A968" s="3"/>
      <c r="B968" s="3"/>
      <c r="C968" s="3"/>
      <c r="D968" s="3"/>
      <c r="E968" s="3"/>
      <c r="F968" s="3"/>
    </row>
    <row r="969" ht="15.75" customHeight="1">
      <c r="A969" s="3"/>
      <c r="B969" s="3"/>
      <c r="C969" s="3"/>
      <c r="D969" s="3"/>
      <c r="E969" s="3"/>
      <c r="F969" s="3"/>
    </row>
    <row r="970" ht="15.75" customHeight="1">
      <c r="A970" s="3"/>
      <c r="B970" s="3"/>
      <c r="C970" s="3"/>
      <c r="D970" s="3"/>
      <c r="E970" s="3"/>
      <c r="F970" s="3"/>
    </row>
    <row r="971" ht="15.75" customHeight="1">
      <c r="A971" s="3"/>
      <c r="B971" s="3"/>
      <c r="C971" s="3"/>
      <c r="D971" s="3"/>
      <c r="E971" s="3"/>
      <c r="F971" s="3"/>
    </row>
    <row r="972" ht="15.75" customHeight="1">
      <c r="A972" s="3"/>
      <c r="B972" s="3"/>
      <c r="C972" s="3"/>
      <c r="D972" s="3"/>
      <c r="E972" s="3"/>
      <c r="F972" s="3"/>
    </row>
    <row r="973" ht="15.75" customHeight="1">
      <c r="A973" s="3"/>
      <c r="B973" s="3"/>
      <c r="C973" s="3"/>
      <c r="D973" s="3"/>
      <c r="E973" s="3"/>
      <c r="F973" s="3"/>
    </row>
    <row r="974" ht="15.75" customHeight="1">
      <c r="A974" s="3"/>
      <c r="B974" s="3"/>
      <c r="C974" s="3"/>
      <c r="D974" s="3"/>
      <c r="E974" s="3"/>
      <c r="F974" s="3"/>
    </row>
    <row r="975" ht="15.75" customHeight="1">
      <c r="A975" s="3"/>
      <c r="B975" s="3"/>
      <c r="C975" s="3"/>
      <c r="D975" s="3"/>
      <c r="E975" s="3"/>
      <c r="F975" s="3"/>
    </row>
    <row r="976" ht="15.75" customHeight="1">
      <c r="A976" s="3"/>
      <c r="B976" s="3"/>
      <c r="C976" s="3"/>
      <c r="D976" s="3"/>
      <c r="E976" s="3"/>
      <c r="F976" s="3"/>
    </row>
    <row r="977" ht="15.75" customHeight="1">
      <c r="A977" s="3"/>
      <c r="B977" s="3"/>
      <c r="C977" s="3"/>
      <c r="D977" s="3"/>
      <c r="E977" s="3"/>
      <c r="F977" s="3"/>
    </row>
    <row r="978" ht="15.75" customHeight="1">
      <c r="A978" s="3"/>
      <c r="B978" s="3"/>
      <c r="C978" s="3"/>
      <c r="D978" s="3"/>
      <c r="E978" s="3"/>
      <c r="F978" s="3"/>
    </row>
    <row r="979" ht="15.75" customHeight="1">
      <c r="A979" s="3"/>
      <c r="B979" s="3"/>
      <c r="C979" s="3"/>
      <c r="D979" s="3"/>
      <c r="E979" s="3"/>
      <c r="F979" s="3"/>
    </row>
    <row r="980" ht="15.75" customHeight="1">
      <c r="A980" s="3"/>
      <c r="B980" s="3"/>
      <c r="C980" s="3"/>
      <c r="D980" s="3"/>
      <c r="E980" s="3"/>
      <c r="F980" s="3"/>
    </row>
    <row r="981" ht="15.75" customHeight="1">
      <c r="A981" s="3"/>
      <c r="B981" s="3"/>
      <c r="C981" s="3"/>
      <c r="D981" s="3"/>
      <c r="E981" s="3"/>
      <c r="F981" s="3"/>
    </row>
    <row r="982" ht="15.75" customHeight="1">
      <c r="A982" s="3"/>
      <c r="B982" s="3"/>
      <c r="C982" s="3"/>
      <c r="D982" s="3"/>
      <c r="E982" s="3"/>
      <c r="F982" s="3"/>
    </row>
    <row r="983" ht="15.75" customHeight="1">
      <c r="A983" s="3"/>
      <c r="B983" s="3"/>
      <c r="C983" s="3"/>
      <c r="D983" s="3"/>
      <c r="E983" s="3"/>
      <c r="F983" s="3"/>
    </row>
    <row r="984" ht="15.75" customHeight="1">
      <c r="A984" s="3"/>
      <c r="B984" s="3"/>
      <c r="C984" s="3"/>
      <c r="D984" s="3"/>
      <c r="E984" s="3"/>
      <c r="F984" s="3"/>
    </row>
    <row r="985" ht="15.75" customHeight="1">
      <c r="A985" s="3"/>
      <c r="B985" s="3"/>
      <c r="C985" s="3"/>
      <c r="D985" s="3"/>
      <c r="E985" s="3"/>
      <c r="F985" s="3"/>
    </row>
    <row r="986" ht="15.75" customHeight="1">
      <c r="A986" s="3"/>
      <c r="B986" s="3"/>
      <c r="C986" s="3"/>
      <c r="D986" s="3"/>
      <c r="E986" s="3"/>
      <c r="F986" s="3"/>
    </row>
    <row r="987" ht="15.75" customHeight="1">
      <c r="A987" s="3"/>
      <c r="B987" s="3"/>
      <c r="C987" s="3"/>
      <c r="D987" s="3"/>
      <c r="E987" s="3"/>
      <c r="F987" s="3"/>
    </row>
    <row r="988" ht="15.75" customHeight="1">
      <c r="A988" s="3"/>
      <c r="B988" s="3"/>
      <c r="C988" s="3"/>
      <c r="D988" s="3"/>
      <c r="E988" s="3"/>
      <c r="F988" s="3"/>
    </row>
    <row r="989" ht="15.75" customHeight="1">
      <c r="A989" s="3"/>
      <c r="B989" s="3"/>
      <c r="C989" s="3"/>
      <c r="D989" s="3"/>
      <c r="E989" s="3"/>
      <c r="F989" s="3"/>
    </row>
    <row r="990" ht="15.75" customHeight="1">
      <c r="A990" s="3"/>
      <c r="B990" s="3"/>
      <c r="C990" s="3"/>
      <c r="D990" s="3"/>
      <c r="E990" s="3"/>
      <c r="F990" s="3"/>
    </row>
    <row r="991" ht="15.75" customHeight="1">
      <c r="A991" s="3"/>
      <c r="B991" s="3"/>
      <c r="C991" s="3"/>
      <c r="D991" s="3"/>
      <c r="E991" s="3"/>
      <c r="F991" s="3"/>
    </row>
    <row r="992" ht="15.75" customHeight="1">
      <c r="A992" s="3"/>
      <c r="B992" s="3"/>
      <c r="C992" s="3"/>
      <c r="D992" s="3"/>
      <c r="E992" s="3"/>
      <c r="F992" s="3"/>
    </row>
    <row r="993" ht="15.75" customHeight="1">
      <c r="A993" s="3"/>
      <c r="B993" s="3"/>
      <c r="C993" s="3"/>
      <c r="D993" s="3"/>
      <c r="E993" s="3"/>
      <c r="F993" s="3"/>
    </row>
    <row r="994" ht="15.75" customHeight="1">
      <c r="A994" s="3"/>
      <c r="B994" s="3"/>
      <c r="C994" s="3"/>
      <c r="D994" s="3"/>
      <c r="E994" s="3"/>
      <c r="F994" s="3"/>
    </row>
    <row r="995" ht="15.75" customHeight="1">
      <c r="A995" s="3"/>
      <c r="B995" s="3"/>
      <c r="C995" s="3"/>
      <c r="D995" s="3"/>
      <c r="E995" s="3"/>
      <c r="F995" s="3"/>
    </row>
    <row r="996" ht="15.75" customHeight="1">
      <c r="A996" s="3"/>
      <c r="B996" s="3"/>
      <c r="C996" s="3"/>
      <c r="D996" s="3"/>
      <c r="E996" s="3"/>
      <c r="F996" s="3"/>
    </row>
    <row r="997" ht="15.75" customHeight="1">
      <c r="A997" s="3"/>
      <c r="B997" s="3"/>
      <c r="C997" s="3"/>
      <c r="D997" s="3"/>
      <c r="E997" s="3"/>
      <c r="F997" s="3"/>
    </row>
    <row r="998" ht="15.75" customHeight="1">
      <c r="A998" s="3"/>
      <c r="B998" s="3"/>
      <c r="C998" s="3"/>
      <c r="D998" s="3"/>
      <c r="E998" s="3"/>
      <c r="F998" s="3"/>
    </row>
    <row r="999" ht="15.75" customHeight="1">
      <c r="A999" s="3"/>
      <c r="B999" s="3"/>
      <c r="C999" s="3"/>
      <c r="D999" s="3"/>
      <c r="E999" s="3"/>
      <c r="F999" s="3"/>
    </row>
    <row r="1000" ht="15.75" customHeight="1">
      <c r="A1000" s="3"/>
      <c r="B1000" s="3"/>
      <c r="C1000" s="3"/>
      <c r="D1000" s="3"/>
      <c r="E1000" s="3"/>
      <c r="F1000" s="3"/>
    </row>
  </sheetData>
  <mergeCells count="1">
    <mergeCell ref="A1:F1"/>
  </mergeCells>
  <hyperlinks>
    <hyperlink r:id="rId1" ref="I4"/>
    <hyperlink r:id="rId2" ref="J4"/>
    <hyperlink r:id="rId3" ref="K4"/>
    <hyperlink r:id="rId4" ref="I5"/>
    <hyperlink r:id="rId5" ref="J5"/>
    <hyperlink r:id="rId6" ref="K5"/>
    <hyperlink r:id="rId7" ref="I6"/>
    <hyperlink r:id="rId8" ref="J6"/>
    <hyperlink r:id="rId9" ref="K6"/>
    <hyperlink r:id="rId10" ref="I7"/>
    <hyperlink r:id="rId11" ref="J7"/>
    <hyperlink r:id="rId12" ref="K7"/>
    <hyperlink r:id="rId13" ref="I8"/>
    <hyperlink r:id="rId14" ref="J8"/>
    <hyperlink r:id="rId15" ref="K8"/>
    <hyperlink r:id="rId16" ref="I9"/>
    <hyperlink r:id="rId17" ref="J9"/>
    <hyperlink r:id="rId18" ref="K9"/>
    <hyperlink r:id="rId19" ref="I10"/>
    <hyperlink r:id="rId20" ref="J10"/>
    <hyperlink r:id="rId21" ref="K10"/>
    <hyperlink r:id="rId22" ref="I11"/>
    <hyperlink r:id="rId23" ref="J11"/>
    <hyperlink r:id="rId24" ref="K11"/>
    <hyperlink r:id="rId25" ref="I12"/>
    <hyperlink r:id="rId26" ref="J12"/>
    <hyperlink r:id="rId27" ref="K12"/>
    <hyperlink r:id="rId28" ref="I13"/>
    <hyperlink r:id="rId29" ref="J13"/>
    <hyperlink r:id="rId30" ref="K13"/>
    <hyperlink r:id="rId31" ref="I14"/>
    <hyperlink r:id="rId32" ref="J14"/>
    <hyperlink r:id="rId33" ref="K14"/>
    <hyperlink r:id="rId34" ref="I15"/>
    <hyperlink r:id="rId35" ref="J15"/>
    <hyperlink r:id="rId36" ref="K15"/>
    <hyperlink r:id="rId37" ref="I16"/>
    <hyperlink r:id="rId38" ref="J16"/>
    <hyperlink r:id="rId39" ref="K16"/>
    <hyperlink r:id="rId40" ref="I17"/>
    <hyperlink r:id="rId41" ref="J17"/>
    <hyperlink r:id="rId42" ref="K17"/>
    <hyperlink r:id="rId43" ref="I18"/>
    <hyperlink r:id="rId44" ref="J18"/>
    <hyperlink r:id="rId45" ref="K18"/>
    <hyperlink r:id="rId46" ref="I19"/>
    <hyperlink r:id="rId47" ref="J19"/>
    <hyperlink r:id="rId48" ref="K19"/>
    <hyperlink r:id="rId49" ref="I20"/>
    <hyperlink r:id="rId50" ref="J20"/>
    <hyperlink r:id="rId51" ref="K20"/>
    <hyperlink r:id="rId52" ref="I21"/>
    <hyperlink r:id="rId53" ref="J21"/>
    <hyperlink r:id="rId54" ref="K21"/>
    <hyperlink r:id="rId55" ref="I22"/>
    <hyperlink r:id="rId56" ref="J22"/>
    <hyperlink r:id="rId57" ref="K22"/>
    <hyperlink r:id="rId58" ref="I23"/>
    <hyperlink r:id="rId59" ref="J23"/>
    <hyperlink r:id="rId60" ref="K23"/>
    <hyperlink r:id="rId61" ref="I24"/>
    <hyperlink r:id="rId62" ref="J24"/>
    <hyperlink r:id="rId63" ref="K24"/>
    <hyperlink r:id="rId64" ref="I25"/>
    <hyperlink r:id="rId65" ref="J25"/>
    <hyperlink r:id="rId66" ref="K25"/>
    <hyperlink r:id="rId67" ref="I26"/>
    <hyperlink r:id="rId68" ref="J26"/>
    <hyperlink r:id="rId69" ref="K26"/>
    <hyperlink r:id="rId70" ref="I27"/>
    <hyperlink r:id="rId71" ref="J27"/>
    <hyperlink r:id="rId72" ref="K27"/>
    <hyperlink r:id="rId73" ref="I28"/>
    <hyperlink r:id="rId74" ref="J28"/>
    <hyperlink r:id="rId75" ref="K28"/>
    <hyperlink r:id="rId76" ref="I29"/>
    <hyperlink r:id="rId77" ref="J29"/>
    <hyperlink r:id="rId78" ref="K29"/>
    <hyperlink r:id="rId79" ref="I30"/>
    <hyperlink r:id="rId80" ref="J30"/>
    <hyperlink r:id="rId81" ref="K30"/>
    <hyperlink r:id="rId82" ref="I31"/>
    <hyperlink r:id="rId83" ref="J31"/>
    <hyperlink r:id="rId84" ref="K31"/>
    <hyperlink r:id="rId85" ref="I32"/>
    <hyperlink r:id="rId86" ref="J32"/>
    <hyperlink r:id="rId87" ref="K32"/>
    <hyperlink r:id="rId88" ref="I33"/>
    <hyperlink r:id="rId89" ref="J33"/>
    <hyperlink r:id="rId90" ref="K33"/>
    <hyperlink r:id="rId91" ref="I34"/>
    <hyperlink r:id="rId92" ref="J34"/>
    <hyperlink r:id="rId93" ref="K34"/>
    <hyperlink r:id="rId94" ref="I35"/>
    <hyperlink r:id="rId95" ref="J35"/>
    <hyperlink r:id="rId96" ref="K35"/>
    <hyperlink r:id="rId97" ref="I36"/>
    <hyperlink r:id="rId98" ref="J36"/>
    <hyperlink r:id="rId99" ref="K36"/>
    <hyperlink r:id="rId100" ref="I37"/>
    <hyperlink r:id="rId101" ref="J37"/>
    <hyperlink r:id="rId102" ref="K37"/>
    <hyperlink r:id="rId103" ref="J38"/>
    <hyperlink r:id="rId104" ref="J39"/>
    <hyperlink r:id="rId105" ref="K39"/>
  </hyperlinks>
  <printOptions/>
  <pageMargins bottom="1.0" footer="0.0" header="0.0" left="0.75" right="0.75" top="1.0"/>
  <pageSetup paperSize="9" orientation="portrait"/>
  <drawing r:id="rId106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6" width="14.43"/>
  </cols>
  <sheetData>
    <row r="1" ht="15.0" customHeight="1">
      <c r="A1" s="3" t="s">
        <v>965</v>
      </c>
    </row>
    <row r="2" ht="15.0" customHeight="1">
      <c r="A2" s="3" t="s">
        <v>966</v>
      </c>
    </row>
    <row r="3" ht="15.0" customHeight="1">
      <c r="A3" s="3" t="s">
        <v>967</v>
      </c>
      <c r="B3" s="3" t="s">
        <v>953</v>
      </c>
      <c r="C3" s="3" t="s">
        <v>968</v>
      </c>
      <c r="D3" s="3" t="s">
        <v>53</v>
      </c>
      <c r="E3" s="3" t="s">
        <v>61</v>
      </c>
      <c r="F3" s="3" t="s">
        <v>956</v>
      </c>
      <c r="G3" s="3"/>
      <c r="H3" s="3" t="s">
        <v>958</v>
      </c>
      <c r="I3" s="3" t="s">
        <v>959</v>
      </c>
      <c r="J3" s="3" t="s">
        <v>960</v>
      </c>
    </row>
    <row r="4" ht="15.0" customHeight="1">
      <c r="A4" s="3" t="s">
        <v>73</v>
      </c>
      <c r="B4" s="108" t="s">
        <v>82</v>
      </c>
      <c r="C4" s="108" t="s">
        <v>971</v>
      </c>
      <c r="D4" s="48" t="str">
        <f>HYPERLINK("https://drive.google.com/open?id=1gawrUw9-400s_7DZd6Yam5max9ws6Ffa","Agenda ↗")</f>
        <v>Agenda ↗</v>
      </c>
      <c r="E4" s="108" t="s">
        <v>31</v>
      </c>
      <c r="F4" s="48" t="str">
        <f>HYPERLINK("https://drive.google.com/drive/folders/1QA8hY_ikAB8yR1YU9JJNfmWjDELuTFqO","Week folder ↗")</f>
        <v>Week folder ↗</v>
      </c>
      <c r="H4" s="126">
        <v>46265.0</v>
      </c>
      <c r="I4" s="48" t="s">
        <v>973</v>
      </c>
    </row>
    <row r="5" ht="15.0" customHeight="1">
      <c r="A5" s="108" t="s">
        <v>136</v>
      </c>
      <c r="B5" s="108" t="s">
        <v>137</v>
      </c>
      <c r="C5" s="108" t="s">
        <v>975</v>
      </c>
      <c r="D5" s="48" t="str">
        <f>HYPERLINK("https://drive.google.com/open?id=1nFdOFNK27gnkpbYpyDlktHRjdkxWIZTZ","Agenda ↗")</f>
        <v>Agenda ↗</v>
      </c>
      <c r="E5" s="48" t="str">
        <f>HYPERLINK("https://drive.google.com/open?id=1Zmv6_jnz3ALZINgumbkn5iak2pbLHPF-u2BsdjWOL24","VT ↗")</f>
        <v>VT ↗</v>
      </c>
      <c r="F5" s="48" t="str">
        <f>HYPERLINK("https://drive.google.com/drive/folders/163tqJfhpKUpQVLeIjndZtZQCNE0rYNPo","Week folder ↗")</f>
        <v>Week folder ↗</v>
      </c>
      <c r="H5" s="126">
        <v>46272.0</v>
      </c>
      <c r="I5" s="48" t="s">
        <v>977</v>
      </c>
      <c r="J5" s="48" t="s">
        <v>981</v>
      </c>
    </row>
    <row r="6" ht="15.0" customHeight="1">
      <c r="A6" s="108" t="s">
        <v>18</v>
      </c>
      <c r="B6" s="108" t="s">
        <v>182</v>
      </c>
      <c r="C6" s="108" t="s">
        <v>982</v>
      </c>
      <c r="D6" s="48" t="str">
        <f>HYPERLINK("https://drive.google.com/open?id=1w9qTJoS1fqb5vdRpuyFqpiSk4xSAK8sv","Agenda ↗")</f>
        <v>Agenda ↗</v>
      </c>
      <c r="E6" s="48" t="str">
        <f>HYPERLINK("https://drive.google.com/open?id=1VVDswvVFHGQELehJfFOGCqC_6-lR7Gt2DkA_XnFHHkM","VT ↗")</f>
        <v>VT ↗</v>
      </c>
      <c r="F6" s="48" t="str">
        <f>HYPERLINK("https://drive.google.com/drive/folders/1eDbiQdmOk-La5qQ43CDtyCRQ2NKBjp57","Week folder ↗")</f>
        <v>Week folder ↗</v>
      </c>
      <c r="H6" s="126">
        <v>46279.0</v>
      </c>
      <c r="I6" s="48" t="s">
        <v>986</v>
      </c>
      <c r="J6" s="48" t="s">
        <v>987</v>
      </c>
    </row>
    <row r="7" ht="15.0" customHeight="1">
      <c r="A7" s="108" t="s">
        <v>55</v>
      </c>
      <c r="B7" s="108" t="s">
        <v>216</v>
      </c>
      <c r="C7" s="108" t="s">
        <v>988</v>
      </c>
      <c r="D7" s="48" t="str">
        <f>HYPERLINK("https://drive.google.com/open?id=19YfhXgO_Qo05liv-vKAqr_nd3js4EeUw","Agenda ↗")</f>
        <v>Agenda ↗</v>
      </c>
      <c r="E7" s="48" t="str">
        <f t="shared" ref="E7:E8" si="1">HYPERLINK("https://drive.google.com/open?id=14J0WNZJfw9riWej1Uc5TbJS6IiXpIlbt","VT ↗")</f>
        <v>VT ↗</v>
      </c>
      <c r="F7" s="48" t="str">
        <f>HYPERLINK("https://drive.google.com/drive/folders/104bQ7JGWFmqmcqPURojuoN7D1jBs3I-e","Week folder ↗")</f>
        <v>Week folder ↗</v>
      </c>
      <c r="H7" s="126">
        <v>46286.0</v>
      </c>
      <c r="I7" s="48" t="s">
        <v>990</v>
      </c>
      <c r="J7" s="48" t="s">
        <v>992</v>
      </c>
    </row>
    <row r="8" ht="15.0" customHeight="1">
      <c r="A8" s="108" t="s">
        <v>248</v>
      </c>
      <c r="B8" s="108" t="s">
        <v>141</v>
      </c>
      <c r="C8" s="108" t="s">
        <v>995</v>
      </c>
      <c r="D8" s="48" t="str">
        <f>HYPERLINK("https://drive.google.com/open?id=1gb0TkMHz2po5IwTl3lmBrDCXGj3Blj59","Agenda ↗")</f>
        <v>Agenda ↗</v>
      </c>
      <c r="E8" s="48" t="str">
        <f t="shared" si="1"/>
        <v>VT ↗</v>
      </c>
      <c r="F8" s="48" t="str">
        <f>HYPERLINK("https://drive.google.com/drive/folders/1Un2YcacJHmsq50c_LPueze3JjWtOfIyj","Week folder ↗")</f>
        <v>Week folder ↗</v>
      </c>
      <c r="H8" s="126">
        <v>46293.0</v>
      </c>
      <c r="I8" s="48" t="s">
        <v>997</v>
      </c>
      <c r="J8" s="48" t="s">
        <v>992</v>
      </c>
    </row>
    <row r="9" ht="15.0" customHeight="1">
      <c r="A9" s="108" t="s">
        <v>69</v>
      </c>
      <c r="B9" s="108" t="s">
        <v>160</v>
      </c>
      <c r="C9" s="108" t="s">
        <v>998</v>
      </c>
      <c r="D9" s="48" t="str">
        <f>HYPERLINK("https://drive.google.com/open?id=1kYF9qyTKahgPS3SueuGIqYLJiTAxlzhJ","Agenda ↗")</f>
        <v>Agenda ↗</v>
      </c>
      <c r="E9" s="48" t="str">
        <f t="shared" ref="E9:E10" si="2">HYPERLINK("https://drive.google.com/open?id=1gErdQQGCkYn6AzaWeoQiag5Pk7nW2TqbfrhVeNZdQ-0","VT ↗")</f>
        <v>VT ↗</v>
      </c>
      <c r="F9" s="48" t="str">
        <f>HYPERLINK("https://drive.google.com/drive/folders/1wEgzWVKjZ9HTSh1oMSou52zJAZctytae","Week folder ↗")</f>
        <v>Week folder ↗</v>
      </c>
      <c r="H9" s="126">
        <v>46300.0</v>
      </c>
      <c r="I9" s="48" t="s">
        <v>1001</v>
      </c>
      <c r="J9" s="48" t="s">
        <v>1002</v>
      </c>
    </row>
    <row r="10" ht="15.0" customHeight="1">
      <c r="A10" s="108" t="s">
        <v>303</v>
      </c>
      <c r="B10" s="108" t="s">
        <v>1004</v>
      </c>
      <c r="C10" s="108" t="s">
        <v>1005</v>
      </c>
      <c r="D10" s="48" t="str">
        <f>HYPERLINK("https://drive.google.com/open?id=1JaCjVW1IZESfp0_X8EHjVSYfmmAJaHeg","Agenda ↗")</f>
        <v>Agenda ↗</v>
      </c>
      <c r="E10" s="48" t="str">
        <f t="shared" si="2"/>
        <v>VT ↗</v>
      </c>
      <c r="F10" s="48" t="str">
        <f>HYPERLINK("https://drive.google.com/drive/folders/1ldu8abQSPRm-mfeZuxrgjjKBgv6vYpyq","Week folder ↗")</f>
        <v>Week folder ↗</v>
      </c>
      <c r="H10" s="126">
        <v>46307.0</v>
      </c>
      <c r="I10" s="48" t="s">
        <v>1007</v>
      </c>
      <c r="J10" s="48" t="s">
        <v>1002</v>
      </c>
    </row>
    <row r="11" ht="15.0" customHeight="1">
      <c r="A11" s="108" t="s">
        <v>91</v>
      </c>
      <c r="B11" s="108" t="s">
        <v>181</v>
      </c>
      <c r="C11" s="108" t="s">
        <v>1010</v>
      </c>
      <c r="D11" s="48" t="str">
        <f>HYPERLINK("https://drive.google.com/open?id=1A7pbBsRbJKzkMbABn7OWCtHfH1lGC6iR","Agenda ↗")</f>
        <v>Agenda ↗</v>
      </c>
      <c r="E11" s="48" t="str">
        <f t="shared" ref="E11:E13" si="3">HYPERLINK("https://drive.google.com/open?id=1dMCxDfIPCRM8Eiv2zoW0wehXROuIhpQbO9tgFqUY_kU","VT ↗")</f>
        <v>VT ↗</v>
      </c>
      <c r="F11" s="48" t="str">
        <f>HYPERLINK("https://drive.google.com/drive/folders/1rAhUfgpFvBiFtA4h9iTTsjyfZzA_JvNK","Week folder ↗")</f>
        <v>Week folder ↗</v>
      </c>
      <c r="H11" s="126">
        <v>46314.0</v>
      </c>
      <c r="I11" s="48" t="s">
        <v>1012</v>
      </c>
      <c r="J11" s="48" t="s">
        <v>1013</v>
      </c>
    </row>
    <row r="12" ht="15.0" customHeight="1">
      <c r="A12" s="108" t="s">
        <v>355</v>
      </c>
      <c r="B12" s="108" t="s">
        <v>197</v>
      </c>
      <c r="C12" s="108" t="s">
        <v>1015</v>
      </c>
      <c r="D12" s="48" t="str">
        <f>HYPERLINK("https://drive.google.com/open?id=11qrXHgJYciJsNZ5xAZK4zw43pxQCuToq","Agenda ↗")</f>
        <v>Agenda ↗</v>
      </c>
      <c r="E12" s="48" t="str">
        <f t="shared" si="3"/>
        <v>VT ↗</v>
      </c>
      <c r="F12" s="48" t="str">
        <f>HYPERLINK("https://drive.google.com/drive/folders/18bQDse9Uun_wUPuwMxXA2sLFpV1xSUpn","Week folder ↗")</f>
        <v>Week folder ↗</v>
      </c>
      <c r="H12" s="126">
        <v>46321.0</v>
      </c>
      <c r="I12" s="48" t="s">
        <v>1017</v>
      </c>
      <c r="J12" s="48" t="s">
        <v>1013</v>
      </c>
    </row>
    <row r="13" ht="15.0" customHeight="1">
      <c r="A13" s="108" t="s">
        <v>386</v>
      </c>
      <c r="B13" s="108" t="s">
        <v>1018</v>
      </c>
      <c r="C13" s="108" t="s">
        <v>1019</v>
      </c>
      <c r="D13" s="48" t="str">
        <f>HYPERLINK("https://drive.google.com/open?id=1kpNrMZwAdbOjjZ6vTe3S5vToMZjFaI7H","Agenda ↗")</f>
        <v>Agenda ↗</v>
      </c>
      <c r="E13" s="48" t="str">
        <f t="shared" si="3"/>
        <v>VT ↗</v>
      </c>
      <c r="F13" s="48" t="str">
        <f>HYPERLINK("https://drive.google.com/drive/folders/15cxT6oxj8kvhvuJKeQqbaJHTzymAhTjy","Week folder ↗")</f>
        <v>Week folder ↗</v>
      </c>
      <c r="H13" s="126">
        <v>46328.0</v>
      </c>
      <c r="I13" s="48" t="s">
        <v>1023</v>
      </c>
      <c r="J13" s="48" t="s">
        <v>1013</v>
      </c>
    </row>
    <row r="14" ht="15.0" customHeight="1">
      <c r="A14" s="108" t="s">
        <v>117</v>
      </c>
      <c r="B14" s="108" t="s">
        <v>1024</v>
      </c>
      <c r="C14" s="108" t="s">
        <v>1025</v>
      </c>
      <c r="D14" s="48" t="str">
        <f>HYPERLINK("https://drive.google.com/open?id=18tVHzBvgJ8nDH72igiW8ysRaRAnuvoQE","Agenda ↗")</f>
        <v>Agenda ↗</v>
      </c>
      <c r="E14" s="48" t="str">
        <f t="shared" ref="E14:E15" si="4">HYPERLINK("https://drive.google.com/open?id=17f7slbWmxUGWajEAWfT3PxE3EfU9tz924xhPQM1Y_is","VT ↗")</f>
        <v>VT ↗</v>
      </c>
      <c r="F14" s="48" t="str">
        <f>HYPERLINK("https://drive.google.com/drive/folders/17AQVg0CCk7iBrECKLQRjBy51AJpbkvcu","Week folder ↗")</f>
        <v>Week folder ↗</v>
      </c>
      <c r="H14" s="126">
        <v>46335.0</v>
      </c>
      <c r="I14" s="48" t="s">
        <v>1028</v>
      </c>
      <c r="J14" s="48" t="s">
        <v>1030</v>
      </c>
    </row>
    <row r="15" ht="15.0" customHeight="1">
      <c r="A15" s="108" t="s">
        <v>127</v>
      </c>
      <c r="B15" s="108" t="s">
        <v>241</v>
      </c>
      <c r="C15" s="108" t="s">
        <v>1031</v>
      </c>
      <c r="D15" s="48" t="str">
        <f>HYPERLINK("https://drive.google.com/open?id=1xYSnkRjIDtVHNXzo12_9S24X3dqbs-Rq","Agenda ↗")</f>
        <v>Agenda ↗</v>
      </c>
      <c r="E15" s="48" t="str">
        <f t="shared" si="4"/>
        <v>VT ↗</v>
      </c>
      <c r="F15" s="48" t="str">
        <f>HYPERLINK("https://drive.google.com/drive/folders/1OfrNpIDs49a06awQ_e2Nw3seVP3b0kvs","Week folder ↗")</f>
        <v>Week folder ↗</v>
      </c>
      <c r="H15" s="126">
        <v>46342.0</v>
      </c>
      <c r="I15" s="48" t="s">
        <v>1033</v>
      </c>
      <c r="J15" s="48" t="s">
        <v>1030</v>
      </c>
    </row>
    <row r="16" ht="15.0" customHeight="1">
      <c r="A16" s="108" t="s">
        <v>138</v>
      </c>
      <c r="B16" s="108" t="s">
        <v>264</v>
      </c>
      <c r="C16" s="108" t="s">
        <v>1035</v>
      </c>
      <c r="D16" s="48" t="str">
        <f>HYPERLINK("https://drive.google.com/open?id=1XCU-OpmQsxqWZMxo_uM1WfG0rVuacp1O","Agenda ↗")</f>
        <v>Agenda ↗</v>
      </c>
      <c r="E16" s="48" t="str">
        <f t="shared" ref="E16:E17" si="5">HYPERLINK("https://drive.google.com/open?id=1azdCXd7wcSnAtuG0UAoCOWjRd0NfgbhgtWzPbkkqNnY","VT ↗")</f>
        <v>VT ↗</v>
      </c>
      <c r="F16" s="48" t="str">
        <f>HYPERLINK("https://drive.google.com/drive/folders/1nXzVHbbhf5fGQpgflCyCIJkEcnS4rn_I","Week folder ↗")</f>
        <v>Week folder ↗</v>
      </c>
      <c r="H16" s="126">
        <v>46356.0</v>
      </c>
      <c r="I16" s="48" t="s">
        <v>1037</v>
      </c>
      <c r="J16" s="48" t="s">
        <v>1040</v>
      </c>
    </row>
    <row r="17" ht="15.0" customHeight="1">
      <c r="A17" s="108" t="s">
        <v>151</v>
      </c>
      <c r="B17" s="108" t="s">
        <v>1041</v>
      </c>
      <c r="C17" s="108" t="s">
        <v>1042</v>
      </c>
      <c r="D17" s="48" t="str">
        <f>HYPERLINK("https://drive.google.com/open?id=168ERgIT0MUhmsX61TdPJGMKY_jGn0Iex","Agenda ↗")</f>
        <v>Agenda ↗</v>
      </c>
      <c r="E17" s="48" t="str">
        <f t="shared" si="5"/>
        <v>VT ↗</v>
      </c>
      <c r="F17" s="48" t="str">
        <f>HYPERLINK("https://drive.google.com/drive/folders/1gmyIv97VR5pq8tB4YuTiZqG9IgdrHg3E","Week folder ↗")</f>
        <v>Week folder ↗</v>
      </c>
      <c r="H17" s="126">
        <v>46363.0</v>
      </c>
      <c r="I17" s="48" t="s">
        <v>1044</v>
      </c>
      <c r="J17" s="48" t="s">
        <v>1040</v>
      </c>
    </row>
    <row r="18" ht="15.0" customHeight="1">
      <c r="A18" s="108" t="s">
        <v>167</v>
      </c>
      <c r="B18" s="108" t="s">
        <v>295</v>
      </c>
      <c r="C18" s="108" t="s">
        <v>1046</v>
      </c>
      <c r="D18" s="48" t="str">
        <f>HYPERLINK("https://drive.google.com/open?id=1u91_J5z5UNulmCN_Xk5jxpQOvCqLpFrs","Agenda ↗")</f>
        <v>Agenda ↗</v>
      </c>
      <c r="E18" s="48" t="str">
        <f t="shared" ref="E18:E21" si="6">HYPERLINK("https://drive.google.com/open?id=1Wj-d32YhHkN01XQQaGvW2A1qnshje2OHGYZLZiPN8qs","VT ↗")</f>
        <v>VT ↗</v>
      </c>
      <c r="F18" s="48" t="str">
        <f>HYPERLINK("https://drive.google.com/drive/folders/1KnKe19zqhMt_OBzHN7KOBEA2P5WB7djj","Week folder ↗")</f>
        <v>Week folder ↗</v>
      </c>
      <c r="H18" s="126">
        <v>46370.0</v>
      </c>
      <c r="I18" s="48" t="s">
        <v>1049</v>
      </c>
      <c r="J18" s="48" t="s">
        <v>1050</v>
      </c>
    </row>
    <row r="19" ht="15.0" customHeight="1">
      <c r="A19" s="108" t="s">
        <v>184</v>
      </c>
      <c r="B19" s="108" t="s">
        <v>1052</v>
      </c>
      <c r="C19" s="108" t="s">
        <v>1053</v>
      </c>
      <c r="D19" s="48" t="str">
        <f>HYPERLINK("https://drive.google.com/open?id=1O9IzS44IqDt7FOODV8ry9CmJia94UwAJ","Agenda ↗")</f>
        <v>Agenda ↗</v>
      </c>
      <c r="E19" s="48" t="str">
        <f t="shared" si="6"/>
        <v>VT ↗</v>
      </c>
      <c r="F19" s="48" t="str">
        <f>HYPERLINK("https://drive.google.com/drive/folders/1ljidBqhr7hn7k7lBJu2Xb9P4ZZ3Ww0T0","Week folder ↗")</f>
        <v>Week folder ↗</v>
      </c>
      <c r="H19" s="126">
        <v>46391.0</v>
      </c>
      <c r="I19" s="48" t="s">
        <v>1055</v>
      </c>
      <c r="J19" s="48" t="s">
        <v>1050</v>
      </c>
    </row>
    <row r="20" ht="15.0" customHeight="1">
      <c r="A20" s="108" t="s">
        <v>593</v>
      </c>
      <c r="B20" s="108" t="s">
        <v>350</v>
      </c>
      <c r="C20" s="108" t="s">
        <v>1056</v>
      </c>
      <c r="D20" s="48" t="str">
        <f>HYPERLINK("https://drive.google.com/file/d/1qLWoaF5MtnyllOb_bjfbq8XCZuU8cHp5/view","Agenda ↗")</f>
        <v>Agenda ↗</v>
      </c>
      <c r="E20" s="48" t="str">
        <f t="shared" si="6"/>
        <v>VT ↗</v>
      </c>
      <c r="F20" s="48" t="str">
        <f>HYPERLINK("https://drive.google.com/drive/folders/17uR9vCmBFbFiy258wsOzoDNUJoDc3uLu","Week folder ↗")</f>
        <v>Week folder ↗</v>
      </c>
      <c r="H20" s="126">
        <v>46398.0</v>
      </c>
      <c r="I20" s="48" t="s">
        <v>1060</v>
      </c>
      <c r="J20" s="48" t="s">
        <v>1050</v>
      </c>
    </row>
    <row r="21" ht="15.0" customHeight="1">
      <c r="A21" s="108" t="s">
        <v>201</v>
      </c>
      <c r="B21" s="108" t="s">
        <v>1061</v>
      </c>
      <c r="C21" s="108" t="s">
        <v>1062</v>
      </c>
      <c r="D21" s="48" t="str">
        <f>HYPERLINK("https://drive.google.com/file/d/1-uv13RZiLnZiQewrd6OK9AbTwy14bzxd/view","Agenda ↗")</f>
        <v>Agenda ↗</v>
      </c>
      <c r="E21" s="48" t="str">
        <f t="shared" si="6"/>
        <v>VT ↗</v>
      </c>
      <c r="F21" s="48" t="str">
        <f>HYPERLINK("https://drive.google.com/drive/folders/1w7j_GNiGNx2Ukcqm1YMokKiQVdN7kAlw","Week folder ↗")</f>
        <v>Week folder ↗</v>
      </c>
      <c r="H21" s="126">
        <v>46405.0</v>
      </c>
      <c r="I21" s="48" t="s">
        <v>1064</v>
      </c>
      <c r="J21" s="48" t="s">
        <v>1050</v>
      </c>
    </row>
    <row r="22" ht="15.0" customHeight="1">
      <c r="A22" s="108" t="s">
        <v>615</v>
      </c>
      <c r="B22" s="108" t="s">
        <v>616</v>
      </c>
      <c r="C22" s="108" t="s">
        <v>1066</v>
      </c>
      <c r="D22" s="48" t="str">
        <f>HYPERLINK("https://drive.google.com/open?id=1uyxqR1SOwHPxria6IGGJY-8UUp4TKY0l","Agenda ↗")</f>
        <v>Agenda ↗</v>
      </c>
      <c r="E22" s="48" t="str">
        <f t="shared" ref="E22:E23" si="7">HYPERLINK("https://drive.google.com/open?id=1xGTy2zxYlCm2Ui96lXPsvD5S80DDJaoELN4bWfbcMhY","VT ↗")</f>
        <v>VT ↗</v>
      </c>
      <c r="F22" s="48" t="str">
        <f>HYPERLINK("https://drive.google.com/drive/folders/1xHAbnP-8jd2d0GFJrv1j_gAB8B32AtK0","Week folder ↗")</f>
        <v>Week folder ↗</v>
      </c>
      <c r="H22" s="126">
        <v>46412.0</v>
      </c>
      <c r="I22" s="48" t="s">
        <v>1074</v>
      </c>
      <c r="J22" s="48" t="s">
        <v>1076</v>
      </c>
    </row>
    <row r="23" ht="15.0" customHeight="1">
      <c r="A23" s="108" t="s">
        <v>215</v>
      </c>
      <c r="B23" s="108" t="s">
        <v>410</v>
      </c>
      <c r="C23" s="108" t="s">
        <v>1079</v>
      </c>
      <c r="D23" s="48" t="str">
        <f>HYPERLINK("https://drive.google.com/open?id=1fo26b0qrjYlcSB-8F9uW8TaD53-_SvMJ","Agenda ↗")</f>
        <v>Agenda ↗</v>
      </c>
      <c r="E23" s="48" t="str">
        <f t="shared" si="7"/>
        <v>VT ↗</v>
      </c>
      <c r="F23" s="48" t="str">
        <f>HYPERLINK("https://drive.google.com/drive/folders/1WEIIc2ylmpgIU8wSADgY-0mZY7r45XlL","Week folder ↗")</f>
        <v>Week folder ↗</v>
      </c>
      <c r="H23" s="126">
        <v>46419.0</v>
      </c>
      <c r="I23" s="48" t="s">
        <v>1083</v>
      </c>
      <c r="J23" s="48" t="s">
        <v>1076</v>
      </c>
    </row>
    <row r="24" ht="15.0" customHeight="1">
      <c r="A24" s="108" t="s">
        <v>247</v>
      </c>
      <c r="B24" s="108" t="s">
        <v>639</v>
      </c>
      <c r="C24" s="108" t="s">
        <v>1085</v>
      </c>
      <c r="D24" s="48" t="str">
        <f>HYPERLINK("https://drive.google.com/open?id=1_d9oien_J66laPNcB4VQNrFDKRMQS_NK","Agenda ↗")</f>
        <v>Agenda ↗</v>
      </c>
      <c r="E24" s="48" t="str">
        <f t="shared" ref="E24:E25" si="8">HYPERLINK("https://drive.google.com/open?id=1ki2C4ujWDEv7TlVU5n-XF3_gzEhTvFM8nV34uwhs64g","VT ↗")</f>
        <v>VT ↗</v>
      </c>
      <c r="F24" s="48" t="str">
        <f>HYPERLINK("https://drive.google.com/drive/folders/1O3-8ajiLWTcJJcnOHFlDJ8-uJRty8TjO","Week folder ↗")</f>
        <v>Week folder ↗</v>
      </c>
      <c r="H24" s="126">
        <v>46426.0</v>
      </c>
      <c r="I24" s="48" t="s">
        <v>1091</v>
      </c>
      <c r="J24" s="48" t="s">
        <v>1093</v>
      </c>
    </row>
    <row r="25" ht="15.0" customHeight="1">
      <c r="A25" s="108" t="s">
        <v>267</v>
      </c>
      <c r="B25" s="108" t="s">
        <v>650</v>
      </c>
      <c r="C25" s="108" t="s">
        <v>1096</v>
      </c>
      <c r="D25" s="48" t="str">
        <f>HYPERLINK("https://drive.google.com/open?id=13kRqv3DrK7x306ZQDLEvjl6q9Jl0y21M","Agenda ↗")</f>
        <v>Agenda ↗</v>
      </c>
      <c r="E25" s="48" t="str">
        <f t="shared" si="8"/>
        <v>VT ↗</v>
      </c>
      <c r="F25" s="48" t="str">
        <f>HYPERLINK("https://drive.google.com/drive/folders/1ahg62IVNfAUmg8CpjwfxcqIsA8X-WUHe","Week folder ↗")</f>
        <v>Week folder ↗</v>
      </c>
      <c r="H25" s="126">
        <v>46433.0</v>
      </c>
      <c r="I25" s="48" t="s">
        <v>1099</v>
      </c>
      <c r="J25" s="48" t="s">
        <v>1093</v>
      </c>
    </row>
    <row r="26" ht="15.0" customHeight="1">
      <c r="A26" s="108" t="s">
        <v>281</v>
      </c>
      <c r="B26" s="108" t="s">
        <v>453</v>
      </c>
      <c r="C26" s="108" t="s">
        <v>1104</v>
      </c>
      <c r="D26" s="48" t="str">
        <f>HYPERLINK("https://drive.google.com/open?id=1TpTzaIgUeuc1A4STjkTBGdo6nH8jW4yW","Agenda ↗")</f>
        <v>Agenda ↗</v>
      </c>
      <c r="E26" s="48" t="str">
        <f t="shared" ref="E26:E28" si="9">HYPERLINK("https://drive.google.com/open?id=1vYN1iL4ELHTsk61B0ulAazNcEzG4uFF3CJte6JgZsaE","VT ↗")</f>
        <v>VT ↗</v>
      </c>
      <c r="F26" s="48" t="str">
        <f>HYPERLINK("https://drive.google.com/drive/folders/1XCJEqyyCj5pyIR4mz-VxHdrRNQTuXC9R","Week folder ↗")</f>
        <v>Week folder ↗</v>
      </c>
      <c r="H26" s="126">
        <v>46440.0</v>
      </c>
      <c r="I26" s="48" t="s">
        <v>1106</v>
      </c>
      <c r="J26" s="48" t="s">
        <v>1109</v>
      </c>
    </row>
    <row r="27" ht="15.0" customHeight="1">
      <c r="A27" s="108" t="s">
        <v>304</v>
      </c>
      <c r="B27" s="108" t="s">
        <v>468</v>
      </c>
      <c r="C27" s="108" t="s">
        <v>1113</v>
      </c>
      <c r="D27" s="48" t="str">
        <f>HYPERLINK("https://drive.google.com/open?id=1YBoz3l3uvH5Ggqt0U4_NTN1sqECi92Py","Agenda ↗")</f>
        <v>Agenda ↗</v>
      </c>
      <c r="E27" s="48" t="str">
        <f t="shared" si="9"/>
        <v>VT ↗</v>
      </c>
      <c r="F27" s="48" t="str">
        <f>HYPERLINK("https://drive.google.com/drive/folders/12SDXeLJBdtM3snZeP6v3-RZvTqy6JUEX","Week folder ↗")</f>
        <v>Week folder ↗</v>
      </c>
      <c r="H27" s="126">
        <v>46447.0</v>
      </c>
      <c r="I27" s="48" t="s">
        <v>1115</v>
      </c>
      <c r="J27" s="48" t="s">
        <v>1109</v>
      </c>
    </row>
    <row r="28" ht="15.0" customHeight="1">
      <c r="A28" s="108" t="s">
        <v>319</v>
      </c>
      <c r="B28" s="108" t="s">
        <v>1121</v>
      </c>
      <c r="C28" s="108" t="s">
        <v>1113</v>
      </c>
      <c r="D28" s="48" t="str">
        <f>HYPERLINK("https://drive.google.com/open?id=1w9M7Dn0JbScAd3zfZmwUMoL0QFFStZjN","Agenda ↗")</f>
        <v>Agenda ↗</v>
      </c>
      <c r="E28" s="48" t="str">
        <f t="shared" si="9"/>
        <v>VT ↗</v>
      </c>
      <c r="F28" s="48" t="str">
        <f>HYPERLINK("https://drive.google.com/drive/folders/1o1kFBEQGuu_QD9eJem4WYRb3L5cPy4Gv","Week folder ↗")</f>
        <v>Week folder ↗</v>
      </c>
      <c r="H28" s="126">
        <v>46454.0</v>
      </c>
      <c r="I28" s="48" t="s">
        <v>1122</v>
      </c>
      <c r="J28" s="48" t="s">
        <v>1109</v>
      </c>
    </row>
    <row r="29" ht="15.0" customHeight="1">
      <c r="A29" s="108" t="s">
        <v>329</v>
      </c>
      <c r="B29" s="108" t="s">
        <v>486</v>
      </c>
      <c r="C29" s="108" t="s">
        <v>1126</v>
      </c>
      <c r="D29" s="48" t="str">
        <f>HYPERLINK("https://drive.google.com/open?id=11qB3do5kHcsLONa7G9jTO0EsFagFKCsS","Agenda ↗")</f>
        <v>Agenda ↗</v>
      </c>
      <c r="E29" s="48" t="str">
        <f t="shared" ref="E29:E30" si="10">HYPERLINK("https://drive.google.com/open?id=10jxfCVxM8G9vaoOxC8dO3Gs-j9tkwk-WStTdOOq2-XA","VT ↗")</f>
        <v>VT ↗</v>
      </c>
      <c r="F29" s="48" t="str">
        <f>HYPERLINK("https://drive.google.com/drive/folders/1o60KAs4BB5MS6d8aHpEZvDZ8rdJPPzQa","Week folder ↗")</f>
        <v>Week folder ↗</v>
      </c>
      <c r="H29" s="126">
        <v>46461.0</v>
      </c>
      <c r="I29" s="48" t="s">
        <v>1129</v>
      </c>
      <c r="J29" s="48" t="s">
        <v>1132</v>
      </c>
    </row>
    <row r="30" ht="15.0" customHeight="1">
      <c r="A30" s="108" t="s">
        <v>708</v>
      </c>
      <c r="B30" s="108" t="s">
        <v>710</v>
      </c>
      <c r="C30" s="108" t="s">
        <v>1135</v>
      </c>
      <c r="D30" s="48" t="str">
        <f>HYPERLINK("https://drive.google.com/open?id=1obzN3NyJYuYHMTC7r9C7atwsKnFyiQyv","Agenda ↗")</f>
        <v>Agenda ↗</v>
      </c>
      <c r="E30" s="48" t="str">
        <f t="shared" si="10"/>
        <v>VT ↗</v>
      </c>
      <c r="F30" s="48" t="str">
        <f>HYPERLINK("https://drive.google.com/drive/folders/190MglN8CesdPTyx6KBGmptQDIV3I6Vbi","Week folder ↗")</f>
        <v>Week folder ↗</v>
      </c>
      <c r="H30" s="126">
        <v>46475.0</v>
      </c>
      <c r="I30" s="48" t="s">
        <v>1136</v>
      </c>
      <c r="J30" s="48" t="s">
        <v>1132</v>
      </c>
    </row>
    <row r="31" ht="15.0" customHeight="1">
      <c r="A31" s="108" t="s">
        <v>382</v>
      </c>
      <c r="B31" s="108" t="s">
        <v>1140</v>
      </c>
      <c r="C31" s="108" t="s">
        <v>1141</v>
      </c>
      <c r="D31" s="48" t="str">
        <f>HYPERLINK("https://drive.google.com/open?id=1-WkzXGkoIltYQIKs42PK-6-uVN3j3b7K","Agenda ↗")</f>
        <v>Agenda ↗</v>
      </c>
      <c r="E31" s="48" t="str">
        <f t="shared" ref="E31:E32" si="11">HYPERLINK("https://drive.google.com/open?id=1cObFuhG2qNzRZ-aSCya5HzhUzGwZa275uknvNSo_jWs","VT ↗")</f>
        <v>VT ↗</v>
      </c>
      <c r="F31" s="48" t="str">
        <f>HYPERLINK("https://drive.google.com/drive/folders/11R87z2oWstWU8WhMTG063riFu9QVwEx9","Week folder ↗")</f>
        <v>Week folder ↗</v>
      </c>
      <c r="H31" s="126">
        <v>46482.0</v>
      </c>
      <c r="I31" s="48" t="s">
        <v>1144</v>
      </c>
      <c r="J31" s="48" t="s">
        <v>1147</v>
      </c>
    </row>
    <row r="32" ht="15.0" customHeight="1">
      <c r="A32" s="108" t="s">
        <v>396</v>
      </c>
      <c r="B32" s="108" t="s">
        <v>518</v>
      </c>
      <c r="C32" s="108" t="s">
        <v>1152</v>
      </c>
      <c r="D32" s="48" t="str">
        <f>HYPERLINK("https://drive.google.com/open?id=190zerguRML1fMTdyIQFXiwd8ZdqFmNU1","Agenda ↗")</f>
        <v>Agenda ↗</v>
      </c>
      <c r="E32" s="48" t="str">
        <f t="shared" si="11"/>
        <v>VT ↗</v>
      </c>
      <c r="F32" s="48" t="str">
        <f>HYPERLINK("https://drive.google.com/drive/folders/13SE5jXZtywm2MFTxwlmNTMBKuVJI9Two","Week folder ↗")</f>
        <v>Week folder ↗</v>
      </c>
      <c r="H32" s="126">
        <v>46489.0</v>
      </c>
      <c r="I32" s="48" t="s">
        <v>1154</v>
      </c>
      <c r="J32" s="48" t="s">
        <v>1147</v>
      </c>
    </row>
    <row r="33" ht="15.0" customHeight="1">
      <c r="A33" s="108" t="s">
        <v>413</v>
      </c>
      <c r="B33" s="108" t="s">
        <v>526</v>
      </c>
      <c r="C33" s="108" t="s">
        <v>1157</v>
      </c>
      <c r="D33" s="48" t="str">
        <f>HYPERLINK("https://drive.google.com/open?id=1gRmD_eTYR-qGUfaUV66pLItREm6rA0ZT","Agenda ↗")</f>
        <v>Agenda ↗</v>
      </c>
      <c r="E33" s="48" t="str">
        <f t="shared" ref="E33:E34" si="12">HYPERLINK("https://drive.google.com/open?id=1EVUaCy_Fg3dUeuLlltPywaq17STxTQaB","VT ↗")</f>
        <v>VT ↗</v>
      </c>
      <c r="F33" s="48" t="str">
        <f>HYPERLINK("https://drive.google.com/drive/folders/1BcRYAz-VLXevva7HZg78qT8u4Qgxy4n3","Week folder ↗")</f>
        <v>Week folder ↗</v>
      </c>
      <c r="H33" s="126">
        <v>46496.0</v>
      </c>
      <c r="I33" s="48" t="s">
        <v>1162</v>
      </c>
      <c r="J33" s="48" t="s">
        <v>1167</v>
      </c>
    </row>
    <row r="34" ht="15.0" customHeight="1">
      <c r="A34" s="108" t="s">
        <v>760</v>
      </c>
      <c r="B34" s="108" t="s">
        <v>1170</v>
      </c>
      <c r="C34" s="108" t="s">
        <v>1171</v>
      </c>
      <c r="D34" s="48" t="str">
        <f>HYPERLINK("https://drive.google.com/open?id=1sLE3Rk-0YIiY7UDrJTOpUBw_gWWnyYKh","Agenda ↗")</f>
        <v>Agenda ↗</v>
      </c>
      <c r="E34" s="48" t="str">
        <f t="shared" si="12"/>
        <v>VT ↗</v>
      </c>
      <c r="F34" s="48" t="str">
        <f>HYPERLINK("https://drive.google.com/drive/folders/1YW2LvUaLSSkpMdyCu3Wig5d8lheeWXu7","Week folder ↗")</f>
        <v>Week folder ↗</v>
      </c>
      <c r="H34" s="126">
        <v>46503.0</v>
      </c>
      <c r="I34" s="48" t="s">
        <v>1172</v>
      </c>
      <c r="J34" s="48" t="s">
        <v>1167</v>
      </c>
    </row>
    <row r="35" ht="15.0" customHeight="1">
      <c r="A35" s="108" t="s">
        <v>429</v>
      </c>
      <c r="B35" s="108" t="s">
        <v>541</v>
      </c>
      <c r="C35" s="108" t="s">
        <v>1179</v>
      </c>
      <c r="D35" s="48" t="str">
        <f>HYPERLINK("https://drive.google.com/open?id=1lAyGSNFcug753XOenC1SWfcKjcWRGgGb","Agenda ↗")</f>
        <v>Agenda ↗</v>
      </c>
      <c r="E35" s="48" t="str">
        <f t="shared" ref="E35:E36" si="13">HYPERLINK("https://drive.google.com/open?id=1-plQzF2HgiwBcHDtpQxFdGOan9U7utO066aCTjJKF0E","VT ↗")</f>
        <v>VT ↗</v>
      </c>
      <c r="F35" s="48" t="str">
        <f>HYPERLINK("https://drive.google.com/drive/folders/1Sqt4JccFMukVuWAdWJqc1mKvrWLSRmKR","Week folder ↗")</f>
        <v>Week folder ↗</v>
      </c>
      <c r="H35" s="126">
        <v>46510.0</v>
      </c>
      <c r="I35" s="48" t="s">
        <v>1183</v>
      </c>
      <c r="J35" s="48" t="s">
        <v>1186</v>
      </c>
    </row>
    <row r="36" ht="15.0" customHeight="1">
      <c r="A36" s="108" t="s">
        <v>456</v>
      </c>
      <c r="B36" s="108" t="s">
        <v>553</v>
      </c>
      <c r="C36" s="108" t="s">
        <v>1189</v>
      </c>
      <c r="D36" s="48" t="str">
        <f>HYPERLINK("https://drive.google.com/open?id=1AiGLle3w4k5jbcqh1v_XmaLy17Bf9AHB","Agenda ↗")</f>
        <v>Agenda ↗</v>
      </c>
      <c r="E36" s="48" t="str">
        <f t="shared" si="13"/>
        <v>VT ↗</v>
      </c>
      <c r="F36" s="48" t="str">
        <f>HYPERLINK("https://drive.google.com/drive/folders/1jWhug-8cSWLMEbjVYiuQfKSrSGGPjamH","Week folder ↗")</f>
        <v>Week folder ↗</v>
      </c>
      <c r="H36" s="126">
        <v>46517.0</v>
      </c>
      <c r="I36" s="48" t="s">
        <v>1193</v>
      </c>
      <c r="J36" s="48" t="s">
        <v>1186</v>
      </c>
    </row>
    <row r="37" ht="15.0" customHeight="1">
      <c r="A37" s="108" t="s">
        <v>794</v>
      </c>
      <c r="B37" s="108" t="s">
        <v>562</v>
      </c>
      <c r="C37" s="108" t="s">
        <v>1196</v>
      </c>
      <c r="D37" s="48" t="str">
        <f>HYPERLINK("https://drive.google.com/open?id=1jhctoygJPnIsW75SJzwqCJNzh2ssGZPa","Agenda ↗")</f>
        <v>Agenda ↗</v>
      </c>
      <c r="E37" s="48" t="str">
        <f t="shared" ref="E37:E38" si="14">HYPERLINK("https://drive.google.com/open?id=13y_kIvYYU0tvQCEjmFxt1Hocrs4EQXvqz2Btyv_bunU","VT ↗")</f>
        <v>VT ↗</v>
      </c>
      <c r="F37" s="48" t="str">
        <f>HYPERLINK("https://drive.google.com/drive/folders/1tVSeLPdRHmK927-cA7e0V9_cKOVzTcG6","Week folder ↗")</f>
        <v>Week folder ↗</v>
      </c>
      <c r="H37" s="126">
        <v>46524.0</v>
      </c>
      <c r="I37" s="48" t="s">
        <v>1200</v>
      </c>
      <c r="J37" s="48" t="s">
        <v>1203</v>
      </c>
    </row>
    <row r="38" ht="15.0" customHeight="1">
      <c r="A38" s="108" t="s">
        <v>806</v>
      </c>
      <c r="B38" s="108" t="s">
        <v>573</v>
      </c>
      <c r="C38" s="108" t="s">
        <v>1206</v>
      </c>
      <c r="D38" s="48" t="str">
        <f>HYPERLINK("https://drive.google.com/open?id=1w8DnScRkCacCsLVAGrnRK2m22GRlMA9T","Agenda ↗")</f>
        <v>Agenda ↗</v>
      </c>
      <c r="E38" s="48" t="str">
        <f t="shared" si="14"/>
        <v>VT ↗</v>
      </c>
      <c r="F38" s="48" t="str">
        <f>HYPERLINK("https://drive.google.com/drive/folders/1qsqDYCi8Zoyk9dYzxW5rM34eiNnP-JcU","Week folder ↗")</f>
        <v>Week folder ↗</v>
      </c>
      <c r="H38" s="126">
        <v>46531.0</v>
      </c>
      <c r="I38" s="48" t="s">
        <v>1208</v>
      </c>
      <c r="J38" s="48" t="s">
        <v>1203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I4"/>
    <hyperlink r:id="rId2" ref="I5"/>
    <hyperlink r:id="rId3" ref="J5"/>
    <hyperlink r:id="rId4" ref="I6"/>
    <hyperlink r:id="rId5" ref="J6"/>
    <hyperlink r:id="rId6" ref="I7"/>
    <hyperlink r:id="rId7" ref="J7"/>
    <hyperlink r:id="rId8" ref="I8"/>
    <hyperlink r:id="rId9" ref="J8"/>
    <hyperlink r:id="rId10" ref="I9"/>
    <hyperlink r:id="rId11" ref="J9"/>
    <hyperlink r:id="rId12" ref="I10"/>
    <hyperlink r:id="rId13" ref="J10"/>
    <hyperlink r:id="rId14" ref="I11"/>
    <hyperlink r:id="rId15" ref="J11"/>
    <hyperlink r:id="rId16" ref="I12"/>
    <hyperlink r:id="rId17" ref="J12"/>
    <hyperlink r:id="rId18" ref="I13"/>
    <hyperlink r:id="rId19" ref="J13"/>
    <hyperlink r:id="rId20" ref="I14"/>
    <hyperlink r:id="rId21" ref="J14"/>
    <hyperlink r:id="rId22" ref="I15"/>
    <hyperlink r:id="rId23" ref="J15"/>
    <hyperlink r:id="rId24" ref="I16"/>
    <hyperlink r:id="rId25" ref="J16"/>
    <hyperlink r:id="rId26" ref="I17"/>
    <hyperlink r:id="rId27" ref="J17"/>
    <hyperlink r:id="rId28" ref="I18"/>
    <hyperlink r:id="rId29" ref="J18"/>
    <hyperlink r:id="rId30" ref="I19"/>
    <hyperlink r:id="rId31" ref="J19"/>
    <hyperlink r:id="rId32" ref="I20"/>
    <hyperlink r:id="rId33" ref="J20"/>
    <hyperlink r:id="rId34" ref="I21"/>
    <hyperlink r:id="rId35" ref="J21"/>
    <hyperlink r:id="rId36" ref="I22"/>
    <hyperlink r:id="rId37" ref="J22"/>
    <hyperlink r:id="rId38" ref="I23"/>
    <hyperlink r:id="rId39" ref="J23"/>
    <hyperlink r:id="rId40" ref="I24"/>
    <hyperlink r:id="rId41" ref="J24"/>
    <hyperlink r:id="rId42" ref="I25"/>
    <hyperlink r:id="rId43" ref="J25"/>
    <hyperlink r:id="rId44" ref="I26"/>
    <hyperlink r:id="rId45" ref="J26"/>
    <hyperlink r:id="rId46" ref="I27"/>
    <hyperlink r:id="rId47" ref="J27"/>
    <hyperlink r:id="rId48" ref="I28"/>
    <hyperlink r:id="rId49" ref="J28"/>
    <hyperlink r:id="rId50" ref="I29"/>
    <hyperlink r:id="rId51" ref="J29"/>
    <hyperlink r:id="rId52" ref="I30"/>
    <hyperlink r:id="rId53" ref="J30"/>
    <hyperlink r:id="rId54" ref="I31"/>
    <hyperlink r:id="rId55" ref="J31"/>
    <hyperlink r:id="rId56" ref="I32"/>
    <hyperlink r:id="rId57" ref="J32"/>
    <hyperlink r:id="rId58" ref="I33"/>
    <hyperlink r:id="rId59" ref="J33"/>
    <hyperlink r:id="rId60" ref="I34"/>
    <hyperlink r:id="rId61" ref="J34"/>
    <hyperlink r:id="rId62" ref="I35"/>
    <hyperlink r:id="rId63" ref="J35"/>
    <hyperlink r:id="rId64" ref="I36"/>
    <hyperlink r:id="rId65" ref="J36"/>
    <hyperlink r:id="rId66" ref="I37"/>
    <hyperlink r:id="rId67" ref="J37"/>
    <hyperlink r:id="rId68" ref="I38"/>
    <hyperlink r:id="rId69" ref="J38"/>
  </hyperlinks>
  <printOptions/>
  <pageMargins bottom="1.0" footer="0.0" header="0.0" left="0.75" right="0.75" top="1.0"/>
  <pageSetup paperSize="9" orientation="portrait"/>
  <drawing r:id="rId70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2" width="14.43"/>
    <col customWidth="1" min="3" max="3" width="49.29"/>
    <col customWidth="1" min="4" max="6" width="14.43"/>
  </cols>
  <sheetData>
    <row r="1" ht="15.0" customHeight="1">
      <c r="A1" s="108" t="s">
        <v>1065</v>
      </c>
      <c r="C1" s="3"/>
    </row>
    <row r="2" ht="15.0" customHeight="1">
      <c r="A2" s="48" t="str">
        <f>HYPERLINK("https://docs.google.com/document/d/1az3OMO31uSWcncaP2_tqclVIOskFY3BH0gpWa0OtBJk/edit","📑 Forensics Lesson Index (master sequence) ↗")</f>
        <v>📑 Forensics Lesson Index (master sequence) ↗</v>
      </c>
      <c r="C2" s="3"/>
    </row>
    <row r="3" ht="15.0" customHeight="1">
      <c r="A3" s="108" t="s">
        <v>1067</v>
      </c>
      <c r="B3" s="108" t="s">
        <v>1068</v>
      </c>
      <c r="C3" s="108" t="s">
        <v>953</v>
      </c>
      <c r="D3" s="108" t="s">
        <v>968</v>
      </c>
      <c r="E3" s="108" t="s">
        <v>53</v>
      </c>
      <c r="F3" s="108" t="s">
        <v>61</v>
      </c>
      <c r="G3" s="108" t="s">
        <v>956</v>
      </c>
      <c r="H3" s="108" t="s">
        <v>958</v>
      </c>
      <c r="I3" s="108" t="s">
        <v>959</v>
      </c>
      <c r="J3" s="108" t="s">
        <v>960</v>
      </c>
    </row>
    <row r="4" ht="15.0" customHeight="1">
      <c r="A4" s="108" t="s">
        <v>1071</v>
      </c>
      <c r="B4" s="108" t="s">
        <v>1072</v>
      </c>
      <c r="C4" s="108" t="s">
        <v>82</v>
      </c>
      <c r="D4" s="108" t="s">
        <v>1073</v>
      </c>
      <c r="E4" s="48" t="str">
        <f>HYPERLINK("https://drive.google.com/drive/folders/1hltb0Q71UOW9MYdaOzdekyvRUg_KA4sd","Folder ↗")</f>
        <v>Folder ↗</v>
      </c>
      <c r="F4" s="48" t="str">
        <f t="shared" ref="F4:F5" si="1">HYPERLINK("https://drive.google.com/open?id=1DnnbX5OkOjZRBPyY0DD7NfaDV7nbe0CAeEj9A7k0VH8","VT ↗")</f>
        <v>VT ↗</v>
      </c>
      <c r="G4" s="48" t="str">
        <f>HYPERLINK("https://drive.google.com/drive/folders/1hltb0Q71UOW9MYdaOzdekyvRUg_KA4sd","Week folder ↗")</f>
        <v>Week folder ↗</v>
      </c>
      <c r="H4" s="126">
        <v>46265.0</v>
      </c>
      <c r="I4" s="48" t="s">
        <v>1075</v>
      </c>
      <c r="J4" s="48" t="s">
        <v>1078</v>
      </c>
    </row>
    <row r="5" ht="15.0" customHeight="1">
      <c r="A5" s="108" t="s">
        <v>1071</v>
      </c>
      <c r="B5" s="108" t="s">
        <v>1081</v>
      </c>
      <c r="C5" s="108" t="s">
        <v>137</v>
      </c>
      <c r="D5" s="108" t="s">
        <v>1082</v>
      </c>
      <c r="E5" s="48" t="str">
        <f>HYPERLINK("https://drive.google.com/open?id=1uOg6_9i1kmz2FtbF6exPfiYp0z-9pnuM","Agenda ↗")</f>
        <v>Agenda ↗</v>
      </c>
      <c r="F5" s="48" t="str">
        <f t="shared" si="1"/>
        <v>VT ↗</v>
      </c>
      <c r="G5" s="48" t="str">
        <f>HYPERLINK("https://drive.google.com/drive/folders/1uma38sCTtPFMf0HY-6dBEZfjv8qqVRmK","Week folder ↗")</f>
        <v>Week folder ↗</v>
      </c>
      <c r="H5" s="126">
        <v>46272.0</v>
      </c>
      <c r="I5" s="48" t="s">
        <v>1084</v>
      </c>
      <c r="J5" s="48" t="s">
        <v>1078</v>
      </c>
    </row>
    <row r="6" ht="15.0" customHeight="1">
      <c r="A6" s="108" t="s">
        <v>1071</v>
      </c>
      <c r="B6" s="108" t="s">
        <v>1089</v>
      </c>
      <c r="C6" s="108" t="s">
        <v>182</v>
      </c>
      <c r="D6" s="108" t="s">
        <v>1090</v>
      </c>
      <c r="E6" s="48" t="str">
        <f>HYPERLINK("https://drive.google.com/drive/folders/1wqc1Hf-h0sxwher8qNilzrp0VpAws5N-","Folder ↗")</f>
        <v>Folder ↗</v>
      </c>
      <c r="F6" s="48" t="str">
        <f>HYPERLINK("https://drive.google.com/open?id=16N6ai03kcWxvoHeUsVy0PjIsMEGVnnTqQpDXtM9coww","VT ↗")</f>
        <v>VT ↗</v>
      </c>
      <c r="G6" s="48" t="str">
        <f>HYPERLINK("https://drive.google.com/drive/folders/1wqc1Hf-h0sxwher8qNilzrp0VpAws5N-","Week folder ↗")</f>
        <v>Week folder ↗</v>
      </c>
      <c r="H6" s="126">
        <v>46279.0</v>
      </c>
      <c r="I6" s="48" t="s">
        <v>1092</v>
      </c>
      <c r="J6" s="48" t="s">
        <v>1095</v>
      </c>
    </row>
    <row r="7" ht="15.0" customHeight="1">
      <c r="A7" s="108" t="s">
        <v>1071</v>
      </c>
      <c r="B7" s="108" t="s">
        <v>1097</v>
      </c>
      <c r="C7" s="108" t="s">
        <v>216</v>
      </c>
      <c r="D7" s="108" t="s">
        <v>1098</v>
      </c>
      <c r="E7" s="48" t="str">
        <f>HYPERLINK("https://drive.google.com/drive/folders/1ZDLPv672eLkb4LdWOUt8NyIfDvOttlOr","Folder ↗")</f>
        <v>Folder ↗</v>
      </c>
      <c r="F7" s="48" t="str">
        <f>HYPERLINK("https://drive.google.com/open?id=1fNrQu29ySWaMOobVBCr-y7mwl_9QaZSGzgqZdgufSTY","VT ↗")</f>
        <v>VT ↗</v>
      </c>
      <c r="G7" s="48" t="str">
        <f>HYPERLINK("https://drive.google.com/drive/folders/1ZDLPv672eLkb4LdWOUt8NyIfDvOttlOr","Week folder ↗")</f>
        <v>Week folder ↗</v>
      </c>
      <c r="H7" s="126">
        <v>46286.0</v>
      </c>
      <c r="I7" s="48" t="s">
        <v>1103</v>
      </c>
      <c r="J7" s="48" t="s">
        <v>1105</v>
      </c>
    </row>
    <row r="8" ht="15.0" customHeight="1">
      <c r="A8" s="108" t="s">
        <v>1071</v>
      </c>
      <c r="B8" s="108" t="s">
        <v>1107</v>
      </c>
      <c r="C8" s="108" t="s">
        <v>141</v>
      </c>
      <c r="D8" s="108" t="s">
        <v>1108</v>
      </c>
      <c r="E8" s="48" t="str">
        <f>HYPERLINK("https://drive.google.com/drive/folders/1Mv5tQSM2q6L1u7TfCY6L7YMoyGAExvii","Folder ↗")</f>
        <v>Folder ↗</v>
      </c>
      <c r="F8" s="48" t="str">
        <f>HYPERLINK("https://drive.google.com/open?id=1C4sG4o-XSQiEZ1BYl-jlqDd_vmO_NwDDmzpQr5Y0JMg","VT ↗")</f>
        <v>VT ↗</v>
      </c>
      <c r="G8" s="48" t="str">
        <f>HYPERLINK("https://drive.google.com/drive/folders/1Mv5tQSM2q6L1u7TfCY6L7YMoyGAExvii","Week folder ↗")</f>
        <v>Week folder ↗</v>
      </c>
      <c r="H8" s="126">
        <v>46293.0</v>
      </c>
      <c r="I8" s="48" t="s">
        <v>1112</v>
      </c>
      <c r="J8" s="48" t="s">
        <v>1114</v>
      </c>
    </row>
    <row r="9" ht="15.0" customHeight="1">
      <c r="A9" s="108" t="s">
        <v>1071</v>
      </c>
      <c r="B9" s="108" t="s">
        <v>1117</v>
      </c>
      <c r="C9" s="108" t="s">
        <v>160</v>
      </c>
      <c r="D9" s="108" t="s">
        <v>1119</v>
      </c>
      <c r="E9" s="48" t="str">
        <f>HYPERLINK("https://drive.google.com/open?id=1J1S0BClAAUttR3m6O5yu9-zaP6LdqHph","Agenda ↗")</f>
        <v>Agenda ↗</v>
      </c>
      <c r="F9" s="48" t="str">
        <f>HYPERLINK("https://drive.google.com/open?id=1-MZ3pZe87f2q33s2jDhGTiRiSEjFZyQ8ZmzQjG_TdA0","VT ↗")</f>
        <v>VT ↗</v>
      </c>
      <c r="G9" s="48" t="str">
        <f>HYPERLINK("https://drive.google.com/drive/folders/1sgd220f0JrRR4QPSzNMWFyiy99Z0KHYG","Week folder ↗")</f>
        <v>Week folder ↗</v>
      </c>
      <c r="H9" s="126">
        <v>46300.0</v>
      </c>
      <c r="I9" s="48" t="s">
        <v>1123</v>
      </c>
      <c r="J9" s="48" t="s">
        <v>1124</v>
      </c>
    </row>
    <row r="10" ht="15.0" customHeight="1">
      <c r="A10" s="108" t="s">
        <v>1071</v>
      </c>
      <c r="B10" s="108" t="s">
        <v>1127</v>
      </c>
      <c r="C10" s="108" t="s">
        <v>1004</v>
      </c>
      <c r="D10" s="108" t="s">
        <v>1128</v>
      </c>
      <c r="E10" s="48" t="str">
        <f>HYPERLINK("https://drive.google.com/open?id=12lw8HTqNaFlWtlgPSM7ioumPHThhOjEj","Agenda ↗")</f>
        <v>Agenda ↗</v>
      </c>
      <c r="F10" s="48" t="str">
        <f>HYPERLINK("https://drive.google.com/open?id=13pRkV5c1MXLMR-C2tc6fVnAIFCZcWO9q4OI-d8XvHd4","VT ↗")</f>
        <v>VT ↗</v>
      </c>
      <c r="G10" s="48" t="str">
        <f>HYPERLINK("https://drive.google.com/drive/folders/17RuwRxS2tr8cY43uWnGZtLCNIKDfU2Wq","Week folder ↗")</f>
        <v>Week folder ↗</v>
      </c>
      <c r="H10" s="126">
        <v>46307.0</v>
      </c>
      <c r="I10" s="48" t="s">
        <v>1133</v>
      </c>
      <c r="J10" s="48" t="s">
        <v>1134</v>
      </c>
    </row>
    <row r="11" ht="15.0" customHeight="1">
      <c r="A11" s="108" t="s">
        <v>1071</v>
      </c>
      <c r="B11" s="108" t="s">
        <v>1137</v>
      </c>
      <c r="C11" s="108" t="s">
        <v>181</v>
      </c>
      <c r="D11" s="108" t="s">
        <v>1139</v>
      </c>
      <c r="E11" s="48" t="str">
        <f>HYPERLINK("https://drive.google.com/open?id=1CucV7ljS-QkRm3qWYFtiH6SMNjZFacqw","Agenda ↗")</f>
        <v>Agenda ↗</v>
      </c>
      <c r="F11" s="48" t="str">
        <f>HYPERLINK("https://drive.google.com/open?id=1PlWhOzS6t0DlieJsS45JVBomCCAiiwM2_n8mIBLqDJY","VT ↗")</f>
        <v>VT ↗</v>
      </c>
      <c r="G11" s="48" t="str">
        <f>HYPERLINK("https://drive.google.com/drive/folders/1Zv2xo2f86Gzbp_cME9DT6lf2iD_1gIlU","Week folder ↗")</f>
        <v>Week folder ↗</v>
      </c>
      <c r="H11" s="126">
        <v>46314.0</v>
      </c>
      <c r="I11" s="48" t="s">
        <v>1143</v>
      </c>
      <c r="J11" s="48" t="s">
        <v>1145</v>
      </c>
    </row>
    <row r="12" ht="15.0" customHeight="1">
      <c r="A12" s="108" t="s">
        <v>1071</v>
      </c>
      <c r="B12" s="108" t="s">
        <v>1150</v>
      </c>
      <c r="C12" s="108" t="s">
        <v>181</v>
      </c>
      <c r="D12" s="108" t="s">
        <v>1151</v>
      </c>
      <c r="E12" s="48" t="str">
        <f>HYPERLINK("https://drive.google.com/open?id=1jpL9F7t-dQ4rVfUNGilEiRHeNLieeD-o","Agenda ↗")</f>
        <v>Agenda ↗</v>
      </c>
      <c r="F12" s="48" t="str">
        <f t="shared" ref="F12:F14" si="2">HYPERLINK("https://drive.google.com/open?id=19mCfUTG4lsvplXzzjdXAXagIe6-9tydgrEHhrRm08Cc","VT ↗")</f>
        <v>VT ↗</v>
      </c>
      <c r="G12" s="48" t="str">
        <f>HYPERLINK("https://drive.google.com/drive/folders/1tsysb6Ppia5dz3qZ5WGlIV3EzudOLsrs","Week folder ↗")</f>
        <v>Week folder ↗</v>
      </c>
      <c r="H12" s="126">
        <v>46314.0</v>
      </c>
      <c r="I12" s="48" t="s">
        <v>1153</v>
      </c>
      <c r="J12" s="48" t="s">
        <v>1155</v>
      </c>
    </row>
    <row r="13" ht="15.0" customHeight="1">
      <c r="A13" s="108" t="s">
        <v>1071</v>
      </c>
      <c r="B13" s="108" t="s">
        <v>1158</v>
      </c>
      <c r="C13" s="108" t="s">
        <v>197</v>
      </c>
      <c r="D13" s="108" t="s">
        <v>1159</v>
      </c>
      <c r="E13" s="48" t="str">
        <f>HYPERLINK("https://drive.google.com/drive/folders/1pSK0hCQlAGxuso39aq602N2w3h7zX5zN","Folder ↗")</f>
        <v>Folder ↗</v>
      </c>
      <c r="F13" s="48" t="str">
        <f t="shared" si="2"/>
        <v>VT ↗</v>
      </c>
      <c r="G13" s="48" t="str">
        <f>HYPERLINK("https://drive.google.com/drive/folders/1pSK0hCQlAGxuso39aq602N2w3h7zX5zN","Week folder ↗")</f>
        <v>Week folder ↗</v>
      </c>
      <c r="H13" s="126">
        <v>46321.0</v>
      </c>
      <c r="I13" s="48" t="s">
        <v>1161</v>
      </c>
      <c r="J13" s="48" t="s">
        <v>1155</v>
      </c>
    </row>
    <row r="14" ht="15.0" customHeight="1">
      <c r="A14" s="108" t="s">
        <v>1071</v>
      </c>
      <c r="B14" s="108" t="s">
        <v>1165</v>
      </c>
      <c r="C14" s="108" t="s">
        <v>1018</v>
      </c>
      <c r="D14" s="108" t="s">
        <v>1168</v>
      </c>
      <c r="E14" s="48" t="str">
        <f>HYPERLINK("https://drive.google.com/open?id=1rHY-4K2t5oBrBufIbuB71mQ-X7dvproI","Agenda ↗")</f>
        <v>Agenda ↗</v>
      </c>
      <c r="F14" s="48" t="str">
        <f t="shared" si="2"/>
        <v>VT ↗</v>
      </c>
      <c r="G14" s="48" t="str">
        <f>HYPERLINK("https://drive.google.com/drive/folders/17-TCSS_gdMCKmSSbR-I7qHLphgnwng4C","Week folder ↗")</f>
        <v>Week folder ↗</v>
      </c>
      <c r="H14" s="126">
        <v>46328.0</v>
      </c>
      <c r="I14" s="48" t="s">
        <v>1169</v>
      </c>
      <c r="J14" s="48" t="s">
        <v>1155</v>
      </c>
    </row>
    <row r="15" ht="15.0" customHeight="1">
      <c r="A15" s="108" t="s">
        <v>1173</v>
      </c>
      <c r="B15" s="108" t="s">
        <v>1174</v>
      </c>
      <c r="C15" s="108" t="s">
        <v>1176</v>
      </c>
      <c r="D15" s="108" t="s">
        <v>1177</v>
      </c>
      <c r="E15" s="48" t="str">
        <f>HYPERLINK("https://drive.google.com/drive/folders/1gb7IdeH1GR3Q6begl2yvm5sUxuqy-AkV","Folder ↗")</f>
        <v>Folder ↗</v>
      </c>
      <c r="F15" s="48" t="str">
        <f>HYPERLINK("https://drive.google.com/open?id=1ug6eZ53phR-nL-8g6DIXbVO5fba2z1cjunaRaFfUzaQ","VT ↗")</f>
        <v>VT ↗</v>
      </c>
      <c r="G15" s="48" t="str">
        <f>HYPERLINK("https://drive.google.com/drive/folders/1gb7IdeH1GR3Q6begl2yvm5sUxuqy-AkV","Week folder ↗")</f>
        <v>Week folder ↗</v>
      </c>
      <c r="H15" s="126">
        <v>46335.0</v>
      </c>
      <c r="I15" s="48" t="s">
        <v>1178</v>
      </c>
      <c r="J15" s="48" t="s">
        <v>1180</v>
      </c>
    </row>
    <row r="16" ht="15.0" customHeight="1">
      <c r="A16" s="108" t="s">
        <v>1173</v>
      </c>
      <c r="B16" s="108" t="s">
        <v>1184</v>
      </c>
      <c r="C16" s="108" t="s">
        <v>241</v>
      </c>
      <c r="D16" s="108" t="s">
        <v>1185</v>
      </c>
      <c r="E16" s="48" t="str">
        <f>HYPERLINK("https://drive.google.com/drive/folders/1KieUq8XC5Xo2H6dTx2JNCTxLnChNChRJ","Folder ↗")</f>
        <v>Folder ↗</v>
      </c>
      <c r="F16" s="48" t="str">
        <f>HYPERLINK("https://drive.google.com/open?id=1WLHJAZ8a4S-19KBPx_jfOmY4lAIneISAHn5wRybT0GI","VT ↗")</f>
        <v>VT ↗</v>
      </c>
      <c r="G16" s="48" t="str">
        <f>HYPERLINK("https://drive.google.com/drive/folders/1KieUq8XC5Xo2H6dTx2JNCTxLnChNChRJ","Week folder ↗")</f>
        <v>Week folder ↗</v>
      </c>
      <c r="H16" s="126">
        <v>46342.0</v>
      </c>
      <c r="I16" s="48" t="s">
        <v>1187</v>
      </c>
      <c r="J16" s="48" t="s">
        <v>1190</v>
      </c>
    </row>
    <row r="17" ht="15.0" customHeight="1">
      <c r="A17" s="108" t="s">
        <v>1173</v>
      </c>
      <c r="B17" s="108" t="s">
        <v>1192</v>
      </c>
      <c r="C17" s="108" t="s">
        <v>483</v>
      </c>
      <c r="D17" s="108" t="s">
        <v>1194</v>
      </c>
      <c r="E17" s="48" t="str">
        <f>HYPERLINK("https://drive.google.com/drive/folders/10EI66bvbebIvsKBTH9nDPdmFB0atbq64","Folder ↗")</f>
        <v>Folder ↗</v>
      </c>
      <c r="F17" s="48" t="str">
        <f>HYPERLINK("https://drive.google.com/open?id=1pKDefRl8-cdzrab8aOZIbVy4pfaPGt1_g-TEoJAQeAo","VT ↗")</f>
        <v>VT ↗</v>
      </c>
      <c r="G17" s="48" t="str">
        <f>HYPERLINK("https://drive.google.com/drive/folders/10EI66bvbebIvsKBTH9nDPdmFB0atbq64","Week folder ↗")</f>
        <v>Week folder ↗</v>
      </c>
      <c r="H17" s="126">
        <v>46349.0</v>
      </c>
      <c r="I17" s="48" t="s">
        <v>1195</v>
      </c>
      <c r="J17" s="48" t="s">
        <v>1199</v>
      </c>
    </row>
    <row r="18" ht="15.0" customHeight="1">
      <c r="A18" s="108" t="s">
        <v>1173</v>
      </c>
      <c r="B18" s="108" t="s">
        <v>1201</v>
      </c>
      <c r="C18" s="108" t="s">
        <v>264</v>
      </c>
      <c r="D18" s="108" t="s">
        <v>1202</v>
      </c>
      <c r="E18" s="48" t="str">
        <f>HYPERLINK("https://drive.google.com/drive/folders/1EIT5207426lWCpf6ql2olNKOLsp4yNXP","Folder ↗")</f>
        <v>Folder ↗</v>
      </c>
      <c r="F18" s="48" t="str">
        <f>HYPERLINK("https://drive.google.com/open?id=16X42i_LgSIQ2A7EBIZeAQqgRrUJJC-kHi4vcJR2sq7I","VT ↗")</f>
        <v>VT ↗</v>
      </c>
      <c r="G18" s="48" t="str">
        <f>HYPERLINK("https://drive.google.com/drive/folders/1EIT5207426lWCpf6ql2olNKOLsp4yNXP","Week folder ↗")</f>
        <v>Week folder ↗</v>
      </c>
      <c r="H18" s="126">
        <v>46356.0</v>
      </c>
      <c r="I18" s="48" t="s">
        <v>1205</v>
      </c>
      <c r="J18" s="48" t="s">
        <v>1207</v>
      </c>
    </row>
    <row r="19" ht="15.0" customHeight="1">
      <c r="A19" s="108" t="s">
        <v>1173</v>
      </c>
      <c r="B19" s="108" t="s">
        <v>1212</v>
      </c>
      <c r="C19" s="108" t="s">
        <v>1041</v>
      </c>
      <c r="D19" s="108" t="s">
        <v>1213</v>
      </c>
      <c r="E19" s="48" t="str">
        <f>HYPERLINK("https://drive.google.com/drive/folders/15H4F0_O8XH6NfcJMIkdYy2qXG83ww69F","Folder ↗")</f>
        <v>Folder ↗</v>
      </c>
      <c r="F19" s="48" t="str">
        <f>HYPERLINK("https://drive.google.com/open?id=1okLRKGBqiHN2ZNrr-hGOwTsNn4L32RkgBkQ1NzYPoag","VT ↗")</f>
        <v>VT ↗</v>
      </c>
      <c r="G19" s="48" t="str">
        <f>HYPERLINK("https://drive.google.com/drive/folders/15H4F0_O8XH6NfcJMIkdYy2qXG83ww69F","Week folder ↗")</f>
        <v>Week folder ↗</v>
      </c>
      <c r="H19" s="126">
        <v>46363.0</v>
      </c>
      <c r="I19" s="48" t="s">
        <v>1214</v>
      </c>
      <c r="J19" s="48" t="s">
        <v>1216</v>
      </c>
    </row>
    <row r="20" ht="15.0" customHeight="1">
      <c r="A20" s="108" t="s">
        <v>1173</v>
      </c>
      <c r="B20" s="108" t="s">
        <v>1218</v>
      </c>
      <c r="C20" s="108" t="s">
        <v>295</v>
      </c>
      <c r="D20" s="108" t="s">
        <v>1219</v>
      </c>
      <c r="E20" s="48" t="str">
        <f>HYPERLINK("https://drive.google.com/drive/folders/1BISI-fM35z8WwBPTnlPEVQtAz8GUpT-F","Folder ↗")</f>
        <v>Folder ↗</v>
      </c>
      <c r="F20" s="48" t="str">
        <f>HYPERLINK("https://drive.google.com/open?id=1ib5r9w2asXNgJGOLrJOgixpJSVxzn_sMQtc38GYo9x4","VT ↗")</f>
        <v>VT ↗</v>
      </c>
      <c r="G20" s="48" t="str">
        <f>HYPERLINK("https://drive.google.com/drive/folders/1BISI-fM35z8WwBPTnlPEVQtAz8GUpT-F","Week folder ↗")</f>
        <v>Week folder ↗</v>
      </c>
      <c r="H20" s="126">
        <v>46370.0</v>
      </c>
      <c r="I20" s="48" t="s">
        <v>1220</v>
      </c>
      <c r="J20" s="48" t="s">
        <v>1223</v>
      </c>
    </row>
    <row r="21" ht="15.0" customHeight="1">
      <c r="A21" s="108" t="s">
        <v>1173</v>
      </c>
      <c r="B21" s="108" t="s">
        <v>1224</v>
      </c>
      <c r="C21" s="108" t="s">
        <v>1052</v>
      </c>
      <c r="D21" s="108" t="s">
        <v>1225</v>
      </c>
      <c r="E21" s="48" t="str">
        <f>HYPERLINK("https://drive.google.com/drive/folders/15xXAFEUloUHquIH7h3IoJ8PRSwl52Bt0","Folder ↗")</f>
        <v>Folder ↗</v>
      </c>
      <c r="F21" s="48" t="str">
        <f>HYPERLINK("https://drive.google.com/open?id=1SjZz1OsukLlGwJnl7Vwi6-YmLqTfJ6q-TLn4p2p-HkU","VT ↗")</f>
        <v>VT ↗</v>
      </c>
      <c r="G21" s="48" t="str">
        <f>HYPERLINK("https://drive.google.com/drive/folders/15xXAFEUloUHquIH7h3IoJ8PRSwl52Bt0","Week folder ↗")</f>
        <v>Week folder ↗</v>
      </c>
      <c r="H21" s="126">
        <v>46391.0</v>
      </c>
      <c r="I21" s="48" t="s">
        <v>1227</v>
      </c>
      <c r="J21" s="48" t="s">
        <v>1228</v>
      </c>
    </row>
    <row r="22" ht="15.0" customHeight="1">
      <c r="A22" s="108" t="s">
        <v>1173</v>
      </c>
      <c r="B22" s="108" t="s">
        <v>1231</v>
      </c>
      <c r="C22" s="108" t="s">
        <v>350</v>
      </c>
      <c r="D22" s="108" t="s">
        <v>1232</v>
      </c>
      <c r="E22" s="48" t="str">
        <f>HYPERLINK("https://drive.google.com/open?id=105xdfZsyzZ0dgOoprxdPU4PvXCRNmzmnXKbrIooXM2g","Agenda ↗")</f>
        <v>Agenda ↗</v>
      </c>
      <c r="F22" s="48" t="str">
        <f>HYPERLINK("https://drive.google.com/open?id=1jq0qwDcfxcOREMKn3nxJPRC_AtxPctug8mG2xctjMns","VT ↗")</f>
        <v>VT ↗</v>
      </c>
      <c r="G22" s="48" t="str">
        <f>HYPERLINK("https://drive.google.com/drive/folders/1Hzf1eiJTGPKIJxLqwr77XYemf4wpvYNZ","Week folder ↗")</f>
        <v>Week folder ↗</v>
      </c>
      <c r="H22" s="126">
        <v>46398.0</v>
      </c>
      <c r="I22" s="48" t="s">
        <v>1233</v>
      </c>
      <c r="J22" s="48" t="s">
        <v>1235</v>
      </c>
    </row>
    <row r="23" ht="15.0" customHeight="1">
      <c r="A23" s="108" t="s">
        <v>1173</v>
      </c>
      <c r="B23" s="108" t="s">
        <v>1237</v>
      </c>
      <c r="C23" s="108" t="s">
        <v>350</v>
      </c>
      <c r="D23" s="108" t="s">
        <v>1238</v>
      </c>
      <c r="E23" s="48" t="str">
        <f>HYPERLINK("https://drive.google.com/drive/folders/1csVnRXQ21snbPMTWvhA4XoBNzCTXTPW5","Folder ↗")</f>
        <v>Folder ↗</v>
      </c>
      <c r="F23" s="48" t="str">
        <f>HYPERLINK("https://drive.google.com/open?id=1_3I21buiMgu-bV3r1cbgwboJmD1tXV_iNiIF0sLH__E","VT ↗")</f>
        <v>VT ↗</v>
      </c>
      <c r="G23" s="48" t="str">
        <f>HYPERLINK("https://drive.google.com/drive/folders/1csVnRXQ21snbPMTWvhA4XoBNzCTXTPW5","Week folder ↗")</f>
        <v>Week folder ↗</v>
      </c>
      <c r="H23" s="126">
        <v>46398.0</v>
      </c>
      <c r="I23" s="48" t="s">
        <v>1239</v>
      </c>
      <c r="J23" s="48" t="s">
        <v>1242</v>
      </c>
    </row>
    <row r="24" ht="15.0" customHeight="1">
      <c r="A24" s="108" t="s">
        <v>1173</v>
      </c>
      <c r="B24" s="108" t="s">
        <v>1243</v>
      </c>
      <c r="C24" s="108" t="s">
        <v>606</v>
      </c>
      <c r="D24" s="108" t="s">
        <v>1244</v>
      </c>
      <c r="E24" s="48" t="str">
        <f>HYPERLINK("https://drive.google.com/drive/folders/1noeDusxYUylGbMcS8KbeXA7i9dKZ3z9x","Folder ↗")</f>
        <v>Folder ↗</v>
      </c>
      <c r="F24" s="48" t="str">
        <f t="shared" ref="F24:F27" si="3">HYPERLINK("https://drive.google.com/open?id=1oBr9K8-Ac7sxklN1X5NFJLjmXnRp50d4wY8fSLl2X1U","VT ↗")</f>
        <v>VT ↗</v>
      </c>
      <c r="G24" s="48" t="str">
        <f>HYPERLINK("https://drive.google.com/drive/folders/1noeDusxYUylGbMcS8KbeXA7i9dKZ3z9x","Week folder ↗")</f>
        <v>Week folder ↗</v>
      </c>
      <c r="H24" s="126">
        <v>46405.0</v>
      </c>
      <c r="I24" s="48" t="s">
        <v>1247</v>
      </c>
      <c r="J24" s="48" t="s">
        <v>1250</v>
      </c>
    </row>
    <row r="25" ht="15.0" customHeight="1">
      <c r="A25" s="108" t="s">
        <v>1173</v>
      </c>
      <c r="B25" s="108" t="s">
        <v>1258</v>
      </c>
      <c r="C25" s="108" t="s">
        <v>616</v>
      </c>
      <c r="D25" s="108" t="s">
        <v>1259</v>
      </c>
      <c r="E25" s="48" t="str">
        <f>HYPERLINK("https://drive.google.com/drive/folders/1pV6i3m-dHD3Psr7ZLm99jC3BzZ-MbaIF","Folder ↗")</f>
        <v>Folder ↗</v>
      </c>
      <c r="F25" s="48" t="str">
        <f t="shared" si="3"/>
        <v>VT ↗</v>
      </c>
      <c r="G25" s="48" t="str">
        <f>HYPERLINK("https://drive.google.com/drive/folders/1pV6i3m-dHD3Psr7ZLm99jC3BzZ-MbaIF","Week folder ↗")</f>
        <v>Week folder ↗</v>
      </c>
      <c r="H25" s="126">
        <v>46412.0</v>
      </c>
      <c r="I25" s="48" t="s">
        <v>1263</v>
      </c>
      <c r="J25" s="48" t="s">
        <v>1250</v>
      </c>
    </row>
    <row r="26" ht="15.0" customHeight="1">
      <c r="A26" s="108" t="s">
        <v>1265</v>
      </c>
      <c r="B26" s="108" t="s">
        <v>1267</v>
      </c>
      <c r="C26" s="108" t="s">
        <v>639</v>
      </c>
      <c r="D26" s="108" t="s">
        <v>1269</v>
      </c>
      <c r="E26" s="48" t="str">
        <f>HYPERLINK("https://drive.google.com/drive/folders/19IlcUxqMHKVnhrNnsOvgWakHwAcngV9n","Folder ↗")</f>
        <v>Folder ↗</v>
      </c>
      <c r="F26" s="48" t="str">
        <f t="shared" si="3"/>
        <v>VT ↗</v>
      </c>
      <c r="G26" s="48" t="str">
        <f>HYPERLINK("https://drive.google.com/drive/folders/19IlcUxqMHKVnhrNnsOvgWakHwAcngV9n","Week folder ↗")</f>
        <v>Week folder ↗</v>
      </c>
      <c r="H26" s="126">
        <v>46426.0</v>
      </c>
      <c r="I26" s="48" t="s">
        <v>1275</v>
      </c>
      <c r="J26" s="48" t="s">
        <v>1250</v>
      </c>
    </row>
    <row r="27" ht="15.0" customHeight="1">
      <c r="A27" s="108" t="s">
        <v>1265</v>
      </c>
      <c r="B27" s="108" t="s">
        <v>1279</v>
      </c>
      <c r="C27" s="108" t="s">
        <v>650</v>
      </c>
      <c r="D27" s="108" t="s">
        <v>1280</v>
      </c>
      <c r="E27" s="48" t="str">
        <f>HYPERLINK("https://drive.google.com/drive/folders/12ZN6ebVwCyKuZ3peGMcnW6m7sx0iOQKb","Folder ↗")</f>
        <v>Folder ↗</v>
      </c>
      <c r="F27" s="48" t="str">
        <f t="shared" si="3"/>
        <v>VT ↗</v>
      </c>
      <c r="G27" s="48" t="str">
        <f>HYPERLINK("https://drive.google.com/drive/folders/12ZN6ebVwCyKuZ3peGMcnW6m7sx0iOQKb","Week folder ↗")</f>
        <v>Week folder ↗</v>
      </c>
      <c r="H27" s="126">
        <v>46433.0</v>
      </c>
      <c r="I27" s="48" t="s">
        <v>1287</v>
      </c>
      <c r="J27" s="48" t="s">
        <v>1250</v>
      </c>
    </row>
    <row r="28" ht="15.0" customHeight="1">
      <c r="A28" s="108" t="s">
        <v>1290</v>
      </c>
      <c r="B28" s="108" t="s">
        <v>1292</v>
      </c>
      <c r="C28" s="108" t="s">
        <v>453</v>
      </c>
      <c r="D28" s="108" t="s">
        <v>1293</v>
      </c>
      <c r="E28" s="48" t="str">
        <f>HYPERLINK("https://drive.google.com/drive/folders/1iEt4G5e7ySD1cjjWFc2mFmBOrFzqAAL1","Folder ↗")</f>
        <v>Folder ↗</v>
      </c>
      <c r="F28" s="48" t="str">
        <f>HYPERLINK("https://drive.google.com/open?id=1HswH502I1eYLbyf4NtncKWXgkVzGD9CFBE-sRKFHXQw","VT ↗")</f>
        <v>VT ↗</v>
      </c>
      <c r="G28" s="48" t="str">
        <f>HYPERLINK("https://drive.google.com/drive/folders/1iEt4G5e7ySD1cjjWFc2mFmBOrFzqAAL1","Week folder ↗")</f>
        <v>Week folder ↗</v>
      </c>
      <c r="H28" s="126">
        <v>46440.0</v>
      </c>
      <c r="I28" s="48" t="s">
        <v>1296</v>
      </c>
      <c r="J28" s="48" t="s">
        <v>1299</v>
      </c>
    </row>
    <row r="29" ht="15.0" customHeight="1">
      <c r="A29" s="108" t="s">
        <v>1290</v>
      </c>
      <c r="B29" s="108" t="s">
        <v>1305</v>
      </c>
      <c r="C29" s="108" t="s">
        <v>468</v>
      </c>
      <c r="D29" s="108" t="s">
        <v>1306</v>
      </c>
      <c r="E29" s="48" t="str">
        <f>HYPERLINK("https://drive.google.com/drive/folders/13YeLbIHejvE9Gs_J7KJNTBj7FcH3UB0V","Folder ↗")</f>
        <v>Folder ↗</v>
      </c>
      <c r="F29" s="48" t="str">
        <f>HYPERLINK("https://drive.google.com/open?id=1EvL9bVKLdcvHSVQhNB4PoCGyi_wW66TSTjXePNgYbpc","VT ↗")</f>
        <v>VT ↗</v>
      </c>
      <c r="G29" s="48" t="str">
        <f>HYPERLINK("https://drive.google.com/drive/folders/13YeLbIHejvE9Gs_J7KJNTBj7FcH3UB0V","Week folder ↗")</f>
        <v>Week folder ↗</v>
      </c>
      <c r="H29" s="126">
        <v>46447.0</v>
      </c>
      <c r="I29" s="48" t="s">
        <v>1310</v>
      </c>
      <c r="J29" s="48" t="s">
        <v>1319</v>
      </c>
    </row>
    <row r="30" ht="15.0" customHeight="1">
      <c r="A30" s="108" t="s">
        <v>1290</v>
      </c>
      <c r="B30" s="108" t="s">
        <v>1336</v>
      </c>
      <c r="C30" s="108" t="s">
        <v>1337</v>
      </c>
      <c r="D30" s="108" t="s">
        <v>1338</v>
      </c>
      <c r="E30" s="48" t="str">
        <f>HYPERLINK("https://drive.google.com/drive/folders/1m6RhiRFi8f7t7QHvE4eX5v3Ey7hVq3YS","Folder ↗")</f>
        <v>Folder ↗</v>
      </c>
      <c r="F30" s="48" t="str">
        <f>HYPERLINK("https://drive.google.com/open?id=16mHzbH9VSToSpHJaf2AvnTMiwnZHcAHD2c7bwG9hRB4","VT ↗")</f>
        <v>VT ↗</v>
      </c>
      <c r="G30" s="48" t="str">
        <f>HYPERLINK("https://drive.google.com/drive/folders/1m6RhiRFi8f7t7QHvE4eX5v3Ey7hVq3YS","Week folder ↗")</f>
        <v>Week folder ↗</v>
      </c>
      <c r="H30" s="126">
        <v>46454.0</v>
      </c>
      <c r="I30" s="48" t="s">
        <v>1354</v>
      </c>
      <c r="J30" s="48" t="s">
        <v>1363</v>
      </c>
    </row>
    <row r="31" ht="15.0" customHeight="1">
      <c r="A31" s="108" t="s">
        <v>1290</v>
      </c>
      <c r="B31" s="108" t="s">
        <v>1378</v>
      </c>
      <c r="C31" s="108" t="s">
        <v>486</v>
      </c>
      <c r="D31" s="108" t="s">
        <v>1380</v>
      </c>
      <c r="E31" s="48" t="str">
        <f>HYPERLINK("https://drive.google.com/drive/folders/1dE9ozFTmLUgySdTKl5XscTLOjdsB-qYZ","Folder ↗")</f>
        <v>Folder ↗</v>
      </c>
      <c r="F31" s="48" t="str">
        <f>HYPERLINK("https://drive.google.com/open?id=1KmbHUXdcV6yrq36A6RCwj-z2vwUGwE-Tet2xguyoE64","VT ↗")</f>
        <v>VT ↗</v>
      </c>
      <c r="G31" s="48" t="str">
        <f>HYPERLINK("https://drive.google.com/drive/folders/1dE9ozFTmLUgySdTKl5XscTLOjdsB-qYZ","Week folder ↗")</f>
        <v>Week folder ↗</v>
      </c>
      <c r="H31" s="126">
        <v>46461.0</v>
      </c>
      <c r="I31" s="48" t="s">
        <v>1398</v>
      </c>
      <c r="J31" s="48" t="s">
        <v>1410</v>
      </c>
    </row>
    <row r="32" ht="15.0" customHeight="1">
      <c r="A32" s="108" t="s">
        <v>1290</v>
      </c>
      <c r="B32" s="108" t="s">
        <v>1424</v>
      </c>
      <c r="C32" s="108" t="s">
        <v>1426</v>
      </c>
      <c r="D32" s="108" t="s">
        <v>1427</v>
      </c>
      <c r="E32" s="48" t="str">
        <f>HYPERLINK("https://drive.google.com/drive/folders/16pxsfcoyy-gBRuxtu2l2qlkMiJ_3Tuer","Folder ↗")</f>
        <v>Folder ↗</v>
      </c>
      <c r="F32" s="48" t="str">
        <f>HYPERLINK("https://drive.google.com/open?id=1Na4rSGlIJXMgKjILGGmAlcad6_bJJkjU6vDeECFNgYo","VT ↗")</f>
        <v>VT ↗</v>
      </c>
      <c r="G32" s="48" t="str">
        <f>HYPERLINK("https://drive.google.com/drive/folders/16pxsfcoyy-gBRuxtu2l2qlkMiJ_3Tuer","Week folder ↗")</f>
        <v>Week folder ↗</v>
      </c>
      <c r="H32" s="126">
        <v>46468.0</v>
      </c>
      <c r="I32" s="48" t="s">
        <v>1446</v>
      </c>
      <c r="J32" s="48" t="s">
        <v>1460</v>
      </c>
    </row>
    <row r="33" ht="15.0" customHeight="1">
      <c r="A33" s="108" t="s">
        <v>1290</v>
      </c>
      <c r="B33" s="108" t="s">
        <v>1477</v>
      </c>
      <c r="C33" s="108" t="s">
        <v>1281</v>
      </c>
      <c r="D33" s="108" t="s">
        <v>1479</v>
      </c>
      <c r="E33" s="48" t="str">
        <f>HYPERLINK("https://drive.google.com/drive/folders/1k3yJR5ZxudOPpkUB50pev1GaL_ZHc9Aq","Folder ↗")</f>
        <v>Folder ↗</v>
      </c>
      <c r="F33" s="48" t="str">
        <f>HYPERLINK("https://drive.google.com/open?id=1C6AGVsT0iRU7v8knb3NAnvZAGUZvBVDz4HYOmKpeT94","VT ↗")</f>
        <v>VT ↗</v>
      </c>
      <c r="G33" s="48" t="str">
        <f>HYPERLINK("https://drive.google.com/drive/folders/1k3yJR5ZxudOPpkUB50pev1GaL_ZHc9Aq","Week folder ↗")</f>
        <v>Week folder ↗</v>
      </c>
      <c r="H33" s="126">
        <v>46475.0</v>
      </c>
      <c r="I33" s="48" t="s">
        <v>1498</v>
      </c>
      <c r="J33" s="48" t="s">
        <v>1514</v>
      </c>
    </row>
    <row r="34" ht="15.0" customHeight="1">
      <c r="A34" s="108" t="s">
        <v>1290</v>
      </c>
      <c r="B34" s="108" t="s">
        <v>1528</v>
      </c>
      <c r="C34" s="108" t="s">
        <v>1140</v>
      </c>
      <c r="D34" s="108" t="s">
        <v>1531</v>
      </c>
      <c r="E34" s="48" t="str">
        <f>HYPERLINK("https://drive.google.com/drive/folders/1ovwwHcYCJhKqjwz0Mm0g9XSilKB6HI_H","Folder ↗")</f>
        <v>Folder ↗</v>
      </c>
      <c r="F34" s="48" t="str">
        <f>HYPERLINK("https://drive.google.com/open?id=18G3CJXHkkbiLKz8HfptE5DGjroxj6eSAFDdtMlsYIz4","VT ↗")</f>
        <v>VT ↗</v>
      </c>
      <c r="G34" s="48" t="str">
        <f>HYPERLINK("https://drive.google.com/drive/folders/1ovwwHcYCJhKqjwz0Mm0g9XSilKB6HI_H","Week folder ↗")</f>
        <v>Week folder ↗</v>
      </c>
      <c r="H34" s="126">
        <v>46482.0</v>
      </c>
      <c r="I34" s="48" t="s">
        <v>1538</v>
      </c>
      <c r="J34" s="48" t="s">
        <v>1543</v>
      </c>
    </row>
    <row r="35" ht="15.0" customHeight="1">
      <c r="A35" s="108" t="s">
        <v>1290</v>
      </c>
      <c r="B35" s="108" t="s">
        <v>1550</v>
      </c>
      <c r="C35" s="108" t="s">
        <v>1170</v>
      </c>
      <c r="D35" s="108" t="s">
        <v>1551</v>
      </c>
      <c r="E35" s="48" t="str">
        <f>HYPERLINK("https://drive.google.com/drive/folders/1EE5CtmQ7lZtdSsbA0YL5px5xIi8cjXzK","Folder ↗")</f>
        <v>Folder ↗</v>
      </c>
      <c r="F35" s="48" t="str">
        <f>HYPERLINK("https://drive.google.com/open?id=1TuSrBkj6t2UlQpuCB2KO84IAtZvnwrql_CPptARCtGg","VT ↗")</f>
        <v>VT ↗</v>
      </c>
      <c r="G35" s="48" t="str">
        <f>HYPERLINK("https://drive.google.com/drive/folders/1EE5CtmQ7lZtdSsbA0YL5px5xIi8cjXzK","Week folder ↗")</f>
        <v>Week folder ↗</v>
      </c>
      <c r="H35" s="126">
        <v>46503.0</v>
      </c>
      <c r="I35" s="48" t="s">
        <v>1552</v>
      </c>
      <c r="J35" s="48" t="s">
        <v>1556</v>
      </c>
    </row>
    <row r="36" ht="15.0" customHeight="1">
      <c r="A36" s="108" t="s">
        <v>1290</v>
      </c>
      <c r="B36" s="108" t="s">
        <v>1558</v>
      </c>
      <c r="C36" s="108" t="s">
        <v>541</v>
      </c>
      <c r="D36" s="108" t="s">
        <v>1559</v>
      </c>
      <c r="E36" s="48" t="str">
        <f>HYPERLINK("https://drive.google.com/drive/folders/1R3M3C0dc0h5M3tX80-6Kzgp5zC3Gxwko","Folder ↗")</f>
        <v>Folder ↗</v>
      </c>
      <c r="F36" s="48" t="str">
        <f>HYPERLINK("https://drive.google.com/open?id=1sbT6z6zDgZyURg1QMek_6tz8uEg7qFHkASjQPq-pePQ","VT ↗")</f>
        <v>VT ↗</v>
      </c>
      <c r="G36" s="48" t="str">
        <f>HYPERLINK("https://drive.google.com/drive/folders/1R3M3C0dc0h5M3tX80-6Kzgp5zC3Gxwko","Week folder ↗")</f>
        <v>Week folder ↗</v>
      </c>
      <c r="H36" s="126">
        <v>46510.0</v>
      </c>
      <c r="I36" s="48" t="s">
        <v>1564</v>
      </c>
      <c r="J36" s="48" t="s">
        <v>1570</v>
      </c>
    </row>
    <row r="37" ht="15.0" customHeight="1">
      <c r="A37" s="108" t="s">
        <v>1290</v>
      </c>
      <c r="B37" s="108" t="s">
        <v>1571</v>
      </c>
      <c r="C37" s="108" t="s">
        <v>553</v>
      </c>
      <c r="D37" s="108" t="s">
        <v>1572</v>
      </c>
      <c r="E37" s="48" t="str">
        <f>HYPERLINK("https://drive.google.com/drive/folders/16tLr2FU7HB2d19Ked6DMexef0-jz2JNZ","Folder ↗")</f>
        <v>Folder ↗</v>
      </c>
      <c r="F37" s="48" t="str">
        <f t="shared" ref="F37:F38" si="4">HYPERLINK("https://drive.google.com/open?id=1ajqhzbmaq43OZPg0yQT4qTTR47neKBOATHX3jMu1WTY","VT ↗")</f>
        <v>VT ↗</v>
      </c>
      <c r="G37" s="48" t="str">
        <f>HYPERLINK("https://drive.google.com/drive/folders/16tLr2FU7HB2d19Ked6DMexef0-jz2JNZ","Week folder ↗")</f>
        <v>Week folder ↗</v>
      </c>
      <c r="H37" s="126">
        <v>46517.0</v>
      </c>
      <c r="I37" s="48" t="s">
        <v>1577</v>
      </c>
      <c r="J37" s="48" t="s">
        <v>1579</v>
      </c>
    </row>
    <row r="38" ht="15.0" customHeight="1">
      <c r="A38" s="108" t="s">
        <v>1290</v>
      </c>
      <c r="B38" s="108" t="s">
        <v>1587</v>
      </c>
      <c r="C38" s="108" t="s">
        <v>562</v>
      </c>
      <c r="D38" s="108" t="s">
        <v>1589</v>
      </c>
      <c r="E38" s="48" t="str">
        <f>HYPERLINK("https://drive.google.com/drive/folders/1_ekC-cAORs7LW1XAPijg7P7dgcQfMIIN","Folder ↗")</f>
        <v>Folder ↗</v>
      </c>
      <c r="F38" s="48" t="str">
        <f t="shared" si="4"/>
        <v>VT ↗</v>
      </c>
      <c r="G38" s="48" t="str">
        <f>HYPERLINK("https://drive.google.com/drive/folders/1_ekC-cAORs7LW1XAPijg7P7dgcQfMIIN","Week folder ↗")</f>
        <v>Week folder ↗</v>
      </c>
      <c r="H38" s="126">
        <v>46524.0</v>
      </c>
      <c r="I38" s="48" t="s">
        <v>1598</v>
      </c>
      <c r="J38" s="48" t="s">
        <v>1579</v>
      </c>
    </row>
    <row r="39" ht="15.75" customHeight="1">
      <c r="C39" s="3"/>
    </row>
    <row r="40" ht="15.75" customHeight="1">
      <c r="C40" s="3"/>
    </row>
    <row r="41" ht="15.75" customHeight="1">
      <c r="C41" s="3"/>
    </row>
    <row r="42" ht="15.75" customHeight="1">
      <c r="C42" s="3"/>
    </row>
    <row r="43" ht="15.75" customHeight="1">
      <c r="C43" s="3"/>
    </row>
    <row r="44" ht="15.75" customHeight="1">
      <c r="C44" s="3"/>
    </row>
    <row r="45" ht="15.75" customHeight="1">
      <c r="C45" s="3"/>
    </row>
    <row r="46" ht="15.75" customHeight="1">
      <c r="C46" s="3"/>
    </row>
    <row r="47" ht="15.75" customHeight="1">
      <c r="C47" s="3"/>
    </row>
    <row r="48" ht="15.75" customHeight="1">
      <c r="C48" s="3"/>
    </row>
    <row r="49" ht="15.75" customHeight="1">
      <c r="C49" s="3"/>
    </row>
    <row r="50" ht="15.75" customHeight="1">
      <c r="C50" s="3"/>
    </row>
    <row r="51" ht="15.75" customHeight="1">
      <c r="C51" s="3"/>
    </row>
    <row r="52" ht="15.75" customHeight="1">
      <c r="C52" s="3"/>
    </row>
    <row r="53" ht="15.75" customHeight="1">
      <c r="C53" s="3"/>
    </row>
    <row r="54" ht="15.75" customHeight="1">
      <c r="C54" s="3"/>
    </row>
    <row r="55" ht="15.75" customHeight="1">
      <c r="C55" s="3"/>
    </row>
    <row r="56" ht="15.75" customHeight="1">
      <c r="C56" s="3"/>
    </row>
    <row r="57" ht="15.75" customHeight="1">
      <c r="C57" s="3"/>
    </row>
    <row r="58" ht="15.75" customHeight="1">
      <c r="C58" s="3"/>
    </row>
    <row r="59" ht="15.75" customHeight="1">
      <c r="C59" s="3"/>
    </row>
    <row r="60" ht="15.75" customHeight="1">
      <c r="C60" s="3"/>
    </row>
    <row r="61" ht="15.75" customHeight="1">
      <c r="C61" s="3"/>
    </row>
    <row r="62" ht="15.75" customHeight="1">
      <c r="C62" s="3"/>
    </row>
    <row r="63" ht="15.75" customHeight="1">
      <c r="C63" s="3"/>
    </row>
    <row r="64" ht="15.75" customHeight="1">
      <c r="C64" s="3"/>
    </row>
    <row r="65" ht="15.75" customHeight="1">
      <c r="C65" s="3"/>
    </row>
    <row r="66" ht="15.75" customHeight="1">
      <c r="C66" s="3"/>
    </row>
    <row r="67" ht="15.75" customHeight="1">
      <c r="C67" s="3"/>
    </row>
    <row r="68" ht="15.75" customHeight="1">
      <c r="C68" s="3"/>
    </row>
    <row r="69" ht="15.75" customHeight="1">
      <c r="C69" s="3"/>
    </row>
    <row r="70" ht="15.75" customHeight="1">
      <c r="C70" s="3"/>
    </row>
    <row r="71" ht="15.75" customHeight="1">
      <c r="C71" s="3"/>
    </row>
    <row r="72" ht="15.75" customHeight="1">
      <c r="C72" s="3"/>
    </row>
    <row r="73" ht="15.75" customHeight="1">
      <c r="C73" s="3"/>
    </row>
    <row r="74" ht="15.75" customHeight="1">
      <c r="C74" s="3"/>
    </row>
    <row r="75" ht="15.75" customHeight="1">
      <c r="C75" s="3"/>
    </row>
    <row r="76" ht="15.75" customHeight="1">
      <c r="C76" s="3"/>
    </row>
    <row r="77" ht="15.75" customHeight="1">
      <c r="C77" s="3"/>
    </row>
    <row r="78" ht="15.75" customHeight="1">
      <c r="C78" s="3"/>
    </row>
    <row r="79" ht="15.75" customHeight="1">
      <c r="C79" s="3"/>
    </row>
    <row r="80" ht="15.75" customHeight="1">
      <c r="C80" s="3"/>
    </row>
    <row r="81" ht="15.75" customHeight="1">
      <c r="C81" s="3"/>
    </row>
    <row r="82" ht="15.75" customHeight="1">
      <c r="C82" s="3"/>
    </row>
    <row r="83" ht="15.75" customHeight="1">
      <c r="C83" s="3"/>
    </row>
    <row r="84" ht="15.75" customHeight="1">
      <c r="C84" s="3"/>
    </row>
    <row r="85" ht="15.75" customHeight="1">
      <c r="C85" s="3"/>
    </row>
    <row r="86" ht="15.75" customHeight="1">
      <c r="C86" s="3"/>
    </row>
    <row r="87" ht="15.75" customHeight="1">
      <c r="C87" s="3"/>
    </row>
    <row r="88" ht="15.75" customHeight="1">
      <c r="C88" s="3"/>
    </row>
    <row r="89" ht="15.75" customHeight="1">
      <c r="C89" s="3"/>
    </row>
    <row r="90" ht="15.75" customHeight="1">
      <c r="C90" s="3"/>
    </row>
    <row r="91" ht="15.75" customHeight="1">
      <c r="C91" s="3"/>
    </row>
    <row r="92" ht="15.75" customHeight="1">
      <c r="C92" s="3"/>
    </row>
    <row r="93" ht="15.75" customHeight="1">
      <c r="C93" s="3"/>
    </row>
    <row r="94" ht="15.75" customHeight="1">
      <c r="C94" s="3"/>
    </row>
    <row r="95" ht="15.75" customHeight="1">
      <c r="C95" s="3"/>
    </row>
    <row r="96" ht="15.75" customHeight="1">
      <c r="C96" s="3"/>
    </row>
    <row r="97" ht="15.75" customHeight="1">
      <c r="C97" s="3"/>
    </row>
    <row r="98" ht="15.75" customHeight="1">
      <c r="C98" s="3"/>
    </row>
    <row r="99" ht="15.75" customHeight="1">
      <c r="C99" s="3"/>
    </row>
    <row r="100" ht="15.75" customHeight="1">
      <c r="C100" s="3"/>
    </row>
    <row r="101" ht="15.75" customHeight="1">
      <c r="C101" s="3"/>
    </row>
    <row r="102" ht="15.75" customHeight="1">
      <c r="C102" s="3"/>
    </row>
    <row r="103" ht="15.75" customHeight="1">
      <c r="C103" s="3"/>
    </row>
    <row r="104" ht="15.75" customHeight="1">
      <c r="C104" s="3"/>
    </row>
    <row r="105" ht="15.75" customHeight="1">
      <c r="C105" s="3"/>
    </row>
    <row r="106" ht="15.75" customHeight="1">
      <c r="C106" s="3"/>
    </row>
    <row r="107" ht="15.75" customHeight="1">
      <c r="C107" s="3"/>
    </row>
    <row r="108" ht="15.75" customHeight="1">
      <c r="C108" s="3"/>
    </row>
    <row r="109" ht="15.75" customHeight="1">
      <c r="C109" s="3"/>
    </row>
    <row r="110" ht="15.75" customHeight="1">
      <c r="C110" s="3"/>
    </row>
    <row r="111" ht="15.75" customHeight="1">
      <c r="C111" s="3"/>
    </row>
    <row r="112" ht="15.75" customHeight="1">
      <c r="C112" s="3"/>
    </row>
    <row r="113" ht="15.75" customHeight="1">
      <c r="C113" s="3"/>
    </row>
    <row r="114" ht="15.75" customHeight="1">
      <c r="C114" s="3"/>
    </row>
    <row r="115" ht="15.75" customHeight="1">
      <c r="C115" s="3"/>
    </row>
    <row r="116" ht="15.75" customHeight="1">
      <c r="C116" s="3"/>
    </row>
    <row r="117" ht="15.75" customHeight="1">
      <c r="C117" s="3"/>
    </row>
    <row r="118" ht="15.75" customHeight="1">
      <c r="C118" s="3"/>
    </row>
    <row r="119" ht="15.75" customHeight="1">
      <c r="C119" s="3"/>
    </row>
    <row r="120" ht="15.75" customHeight="1">
      <c r="C120" s="3"/>
    </row>
    <row r="121" ht="15.75" customHeight="1">
      <c r="C121" s="3"/>
    </row>
    <row r="122" ht="15.75" customHeight="1">
      <c r="C122" s="3"/>
    </row>
    <row r="123" ht="15.75" customHeight="1">
      <c r="C123" s="3"/>
    </row>
    <row r="124" ht="15.75" customHeight="1">
      <c r="C124" s="3"/>
    </row>
    <row r="125" ht="15.75" customHeight="1">
      <c r="C125" s="3"/>
    </row>
    <row r="126" ht="15.75" customHeight="1">
      <c r="C126" s="3"/>
    </row>
    <row r="127" ht="15.75" customHeight="1">
      <c r="C127" s="3"/>
    </row>
    <row r="128" ht="15.75" customHeight="1">
      <c r="C128" s="3"/>
    </row>
    <row r="129" ht="15.75" customHeight="1">
      <c r="C129" s="3"/>
    </row>
    <row r="130" ht="15.75" customHeight="1">
      <c r="C130" s="3"/>
    </row>
    <row r="131" ht="15.75" customHeight="1">
      <c r="C131" s="3"/>
    </row>
    <row r="132" ht="15.75" customHeight="1">
      <c r="C132" s="3"/>
    </row>
    <row r="133" ht="15.75" customHeight="1">
      <c r="C133" s="3"/>
    </row>
    <row r="134" ht="15.75" customHeight="1">
      <c r="C134" s="3"/>
    </row>
    <row r="135" ht="15.75" customHeight="1">
      <c r="C135" s="3"/>
    </row>
    <row r="136" ht="15.75" customHeight="1">
      <c r="C136" s="3"/>
    </row>
    <row r="137" ht="15.75" customHeight="1">
      <c r="C137" s="3"/>
    </row>
    <row r="138" ht="15.75" customHeight="1">
      <c r="C138" s="3"/>
    </row>
    <row r="139" ht="15.75" customHeight="1">
      <c r="C139" s="3"/>
    </row>
    <row r="140" ht="15.75" customHeight="1">
      <c r="C140" s="3"/>
    </row>
    <row r="141" ht="15.75" customHeight="1">
      <c r="C141" s="3"/>
    </row>
    <row r="142" ht="15.75" customHeight="1">
      <c r="C142" s="3"/>
    </row>
    <row r="143" ht="15.75" customHeight="1">
      <c r="C143" s="3"/>
    </row>
    <row r="144" ht="15.75" customHeight="1">
      <c r="C144" s="3"/>
    </row>
    <row r="145" ht="15.75" customHeight="1">
      <c r="C145" s="3"/>
    </row>
    <row r="146" ht="15.75" customHeight="1">
      <c r="C146" s="3"/>
    </row>
    <row r="147" ht="15.75" customHeight="1">
      <c r="C147" s="3"/>
    </row>
    <row r="148" ht="15.75" customHeight="1">
      <c r="C148" s="3"/>
    </row>
    <row r="149" ht="15.75" customHeight="1">
      <c r="C149" s="3"/>
    </row>
    <row r="150" ht="15.75" customHeight="1">
      <c r="C150" s="3"/>
    </row>
    <row r="151" ht="15.75" customHeight="1">
      <c r="C151" s="3"/>
    </row>
    <row r="152" ht="15.75" customHeight="1">
      <c r="C152" s="3"/>
    </row>
    <row r="153" ht="15.75" customHeight="1">
      <c r="C153" s="3"/>
    </row>
    <row r="154" ht="15.75" customHeight="1">
      <c r="C154" s="3"/>
    </row>
    <row r="155" ht="15.75" customHeight="1">
      <c r="C155" s="3"/>
    </row>
    <row r="156" ht="15.75" customHeight="1">
      <c r="C156" s="3"/>
    </row>
    <row r="157" ht="15.75" customHeight="1">
      <c r="C157" s="3"/>
    </row>
    <row r="158" ht="15.75" customHeight="1">
      <c r="C158" s="3"/>
    </row>
    <row r="159" ht="15.75" customHeight="1">
      <c r="C159" s="3"/>
    </row>
    <row r="160" ht="15.75" customHeight="1">
      <c r="C160" s="3"/>
    </row>
    <row r="161" ht="15.75" customHeight="1">
      <c r="C161" s="3"/>
    </row>
    <row r="162" ht="15.75" customHeight="1">
      <c r="C162" s="3"/>
    </row>
    <row r="163" ht="15.75" customHeight="1">
      <c r="C163" s="3"/>
    </row>
    <row r="164" ht="15.75" customHeight="1">
      <c r="C164" s="3"/>
    </row>
    <row r="165" ht="15.75" customHeight="1">
      <c r="C165" s="3"/>
    </row>
    <row r="166" ht="15.75" customHeight="1">
      <c r="C166" s="3"/>
    </row>
    <row r="167" ht="15.75" customHeight="1">
      <c r="C167" s="3"/>
    </row>
    <row r="168" ht="15.75" customHeight="1">
      <c r="C168" s="3"/>
    </row>
    <row r="169" ht="15.75" customHeight="1">
      <c r="C169" s="3"/>
    </row>
    <row r="170" ht="15.75" customHeight="1">
      <c r="C170" s="3"/>
    </row>
    <row r="171" ht="15.75" customHeight="1">
      <c r="C171" s="3"/>
    </row>
    <row r="172" ht="15.75" customHeight="1">
      <c r="C172" s="3"/>
    </row>
    <row r="173" ht="15.75" customHeight="1">
      <c r="C173" s="3"/>
    </row>
    <row r="174" ht="15.75" customHeight="1">
      <c r="C174" s="3"/>
    </row>
    <row r="175" ht="15.75" customHeight="1">
      <c r="C175" s="3"/>
    </row>
    <row r="176" ht="15.75" customHeight="1">
      <c r="C176" s="3"/>
    </row>
    <row r="177" ht="15.75" customHeight="1">
      <c r="C177" s="3"/>
    </row>
    <row r="178" ht="15.75" customHeight="1">
      <c r="C178" s="3"/>
    </row>
    <row r="179" ht="15.75" customHeight="1">
      <c r="C179" s="3"/>
    </row>
    <row r="180" ht="15.75" customHeight="1">
      <c r="C180" s="3"/>
    </row>
    <row r="181" ht="15.75" customHeight="1">
      <c r="C181" s="3"/>
    </row>
    <row r="182" ht="15.75" customHeight="1">
      <c r="C182" s="3"/>
    </row>
    <row r="183" ht="15.75" customHeight="1">
      <c r="C183" s="3"/>
    </row>
    <row r="184" ht="15.75" customHeight="1">
      <c r="C184" s="3"/>
    </row>
    <row r="185" ht="15.75" customHeight="1">
      <c r="C185" s="3"/>
    </row>
    <row r="186" ht="15.75" customHeight="1">
      <c r="C186" s="3"/>
    </row>
    <row r="187" ht="15.75" customHeight="1">
      <c r="C187" s="3"/>
    </row>
    <row r="188" ht="15.75" customHeight="1">
      <c r="C188" s="3"/>
    </row>
    <row r="189" ht="15.75" customHeight="1">
      <c r="C189" s="3"/>
    </row>
    <row r="190" ht="15.75" customHeight="1">
      <c r="C190" s="3"/>
    </row>
    <row r="191" ht="15.75" customHeight="1">
      <c r="C191" s="3"/>
    </row>
    <row r="192" ht="15.75" customHeight="1">
      <c r="C192" s="3"/>
    </row>
    <row r="193" ht="15.75" customHeight="1">
      <c r="C193" s="3"/>
    </row>
    <row r="194" ht="15.75" customHeight="1">
      <c r="C194" s="3"/>
    </row>
    <row r="195" ht="15.75" customHeight="1">
      <c r="C195" s="3"/>
    </row>
    <row r="196" ht="15.75" customHeight="1">
      <c r="C196" s="3"/>
    </row>
    <row r="197" ht="15.75" customHeight="1">
      <c r="C197" s="3"/>
    </row>
    <row r="198" ht="15.75" customHeight="1">
      <c r="C198" s="3"/>
    </row>
    <row r="199" ht="15.75" customHeight="1">
      <c r="C199" s="3"/>
    </row>
    <row r="200" ht="15.75" customHeight="1">
      <c r="C200" s="3"/>
    </row>
    <row r="201" ht="15.75" customHeight="1">
      <c r="C201" s="3"/>
    </row>
    <row r="202" ht="15.75" customHeight="1">
      <c r="C202" s="3"/>
    </row>
    <row r="203" ht="15.75" customHeight="1">
      <c r="C203" s="3"/>
    </row>
    <row r="204" ht="15.75" customHeight="1">
      <c r="C204" s="3"/>
    </row>
    <row r="205" ht="15.75" customHeight="1">
      <c r="C205" s="3"/>
    </row>
    <row r="206" ht="15.75" customHeight="1">
      <c r="C206" s="3"/>
    </row>
    <row r="207" ht="15.75" customHeight="1">
      <c r="C207" s="3"/>
    </row>
    <row r="208" ht="15.75" customHeight="1">
      <c r="C208" s="3"/>
    </row>
    <row r="209" ht="15.75" customHeight="1">
      <c r="C209" s="3"/>
    </row>
    <row r="210" ht="15.75" customHeight="1">
      <c r="C210" s="3"/>
    </row>
    <row r="211" ht="15.75" customHeight="1">
      <c r="C211" s="3"/>
    </row>
    <row r="212" ht="15.75" customHeight="1">
      <c r="C212" s="3"/>
    </row>
    <row r="213" ht="15.75" customHeight="1">
      <c r="C213" s="3"/>
    </row>
    <row r="214" ht="15.75" customHeight="1">
      <c r="C214" s="3"/>
    </row>
    <row r="215" ht="15.75" customHeight="1">
      <c r="C215" s="3"/>
    </row>
    <row r="216" ht="15.75" customHeight="1">
      <c r="C216" s="3"/>
    </row>
    <row r="217" ht="15.75" customHeight="1">
      <c r="C217" s="3"/>
    </row>
    <row r="218" ht="15.75" customHeight="1">
      <c r="C218" s="3"/>
    </row>
    <row r="219" ht="15.75" customHeight="1">
      <c r="C219" s="3"/>
    </row>
    <row r="220" ht="15.75" customHeight="1">
      <c r="C220" s="3"/>
    </row>
    <row r="221" ht="15.75" customHeight="1">
      <c r="C221" s="3"/>
    </row>
    <row r="222" ht="15.75" customHeight="1">
      <c r="C222" s="3"/>
    </row>
    <row r="223" ht="15.75" customHeight="1">
      <c r="C223" s="3"/>
    </row>
    <row r="224" ht="15.75" customHeight="1">
      <c r="C224" s="3"/>
    </row>
    <row r="225" ht="15.75" customHeight="1">
      <c r="C225" s="3"/>
    </row>
    <row r="226" ht="15.75" customHeight="1">
      <c r="C226" s="3"/>
    </row>
    <row r="227" ht="15.75" customHeight="1">
      <c r="C227" s="3"/>
    </row>
    <row r="228" ht="15.75" customHeight="1">
      <c r="C228" s="3"/>
    </row>
    <row r="229" ht="15.75" customHeight="1">
      <c r="C229" s="3"/>
    </row>
    <row r="230" ht="15.75" customHeight="1">
      <c r="C230" s="3"/>
    </row>
    <row r="231" ht="15.75" customHeight="1">
      <c r="C231" s="3"/>
    </row>
    <row r="232" ht="15.75" customHeight="1">
      <c r="C232" s="3"/>
    </row>
    <row r="233" ht="15.75" customHeight="1">
      <c r="C233" s="3"/>
    </row>
    <row r="234" ht="15.75" customHeight="1">
      <c r="C234" s="3"/>
    </row>
    <row r="235" ht="15.75" customHeight="1">
      <c r="C235" s="3"/>
    </row>
    <row r="236" ht="15.75" customHeight="1">
      <c r="C236" s="3"/>
    </row>
    <row r="237" ht="15.75" customHeight="1">
      <c r="C237" s="3"/>
    </row>
    <row r="238" ht="15.75" customHeight="1">
      <c r="C238" s="3"/>
    </row>
    <row r="239" ht="15.75" customHeight="1">
      <c r="C239" s="3"/>
    </row>
    <row r="240" ht="15.75" customHeight="1">
      <c r="C240" s="3"/>
    </row>
    <row r="241" ht="15.75" customHeight="1">
      <c r="C241" s="3"/>
    </row>
    <row r="242" ht="15.75" customHeight="1">
      <c r="C242" s="3"/>
    </row>
    <row r="243" ht="15.75" customHeight="1">
      <c r="C243" s="3"/>
    </row>
    <row r="244" ht="15.75" customHeight="1">
      <c r="C244" s="3"/>
    </row>
    <row r="245" ht="15.75" customHeight="1">
      <c r="C245" s="3"/>
    </row>
    <row r="246" ht="15.75" customHeight="1">
      <c r="C246" s="3"/>
    </row>
    <row r="247" ht="15.75" customHeight="1">
      <c r="C247" s="3"/>
    </row>
    <row r="248" ht="15.75" customHeight="1">
      <c r="C248" s="3"/>
    </row>
    <row r="249" ht="15.75" customHeight="1">
      <c r="C249" s="3"/>
    </row>
    <row r="250" ht="15.75" customHeight="1">
      <c r="C250" s="3"/>
    </row>
    <row r="251" ht="15.75" customHeight="1">
      <c r="C251" s="3"/>
    </row>
    <row r="252" ht="15.75" customHeight="1">
      <c r="C252" s="3"/>
    </row>
    <row r="253" ht="15.75" customHeight="1">
      <c r="C253" s="3"/>
    </row>
    <row r="254" ht="15.75" customHeight="1">
      <c r="C254" s="3"/>
    </row>
    <row r="255" ht="15.75" customHeight="1">
      <c r="C255" s="3"/>
    </row>
    <row r="256" ht="15.75" customHeight="1">
      <c r="C256" s="3"/>
    </row>
    <row r="257" ht="15.75" customHeight="1">
      <c r="C257" s="3"/>
    </row>
    <row r="258" ht="15.75" customHeight="1">
      <c r="C258" s="3"/>
    </row>
    <row r="259" ht="15.75" customHeight="1">
      <c r="C259" s="3"/>
    </row>
    <row r="260" ht="15.75" customHeight="1">
      <c r="C260" s="3"/>
    </row>
    <row r="261" ht="15.75" customHeight="1">
      <c r="C261" s="3"/>
    </row>
    <row r="262" ht="15.75" customHeight="1">
      <c r="C262" s="3"/>
    </row>
    <row r="263" ht="15.75" customHeight="1">
      <c r="C263" s="3"/>
    </row>
    <row r="264" ht="15.75" customHeight="1">
      <c r="C264" s="3"/>
    </row>
    <row r="265" ht="15.75" customHeight="1">
      <c r="C265" s="3"/>
    </row>
    <row r="266" ht="15.75" customHeight="1">
      <c r="C266" s="3"/>
    </row>
    <row r="267" ht="15.75" customHeight="1">
      <c r="C267" s="3"/>
    </row>
    <row r="268" ht="15.75" customHeight="1">
      <c r="C268" s="3"/>
    </row>
    <row r="269" ht="15.75" customHeight="1">
      <c r="C269" s="3"/>
    </row>
    <row r="270" ht="15.75" customHeight="1">
      <c r="C270" s="3"/>
    </row>
    <row r="271" ht="15.75" customHeight="1">
      <c r="C271" s="3"/>
    </row>
    <row r="272" ht="15.75" customHeight="1">
      <c r="C272" s="3"/>
    </row>
    <row r="273" ht="15.75" customHeight="1">
      <c r="C273" s="3"/>
    </row>
    <row r="274" ht="15.75" customHeight="1">
      <c r="C274" s="3"/>
    </row>
    <row r="275" ht="15.75" customHeight="1">
      <c r="C275" s="3"/>
    </row>
    <row r="276" ht="15.75" customHeight="1">
      <c r="C276" s="3"/>
    </row>
    <row r="277" ht="15.75" customHeight="1">
      <c r="C277" s="3"/>
    </row>
    <row r="278" ht="15.75" customHeight="1">
      <c r="C278" s="3"/>
    </row>
    <row r="279" ht="15.75" customHeight="1">
      <c r="C279" s="3"/>
    </row>
    <row r="280" ht="15.75" customHeight="1">
      <c r="C280" s="3"/>
    </row>
    <row r="281" ht="15.75" customHeight="1">
      <c r="C281" s="3"/>
    </row>
    <row r="282" ht="15.75" customHeight="1">
      <c r="C282" s="3"/>
    </row>
    <row r="283" ht="15.75" customHeight="1">
      <c r="C283" s="3"/>
    </row>
    <row r="284" ht="15.75" customHeight="1">
      <c r="C284" s="3"/>
    </row>
    <row r="285" ht="15.75" customHeight="1">
      <c r="C285" s="3"/>
    </row>
    <row r="286" ht="15.75" customHeight="1">
      <c r="C286" s="3"/>
    </row>
    <row r="287" ht="15.75" customHeight="1">
      <c r="C287" s="3"/>
    </row>
    <row r="288" ht="15.75" customHeight="1">
      <c r="C288" s="3"/>
    </row>
    <row r="289" ht="15.75" customHeight="1">
      <c r="C289" s="3"/>
    </row>
    <row r="290" ht="15.75" customHeight="1">
      <c r="C290" s="3"/>
    </row>
    <row r="291" ht="15.75" customHeight="1">
      <c r="C291" s="3"/>
    </row>
    <row r="292" ht="15.75" customHeight="1">
      <c r="C292" s="3"/>
    </row>
    <row r="293" ht="15.75" customHeight="1">
      <c r="C293" s="3"/>
    </row>
    <row r="294" ht="15.75" customHeight="1">
      <c r="C294" s="3"/>
    </row>
    <row r="295" ht="15.75" customHeight="1">
      <c r="C295" s="3"/>
    </row>
    <row r="296" ht="15.75" customHeight="1">
      <c r="C296" s="3"/>
    </row>
    <row r="297" ht="15.75" customHeight="1">
      <c r="C297" s="3"/>
    </row>
    <row r="298" ht="15.75" customHeight="1">
      <c r="C298" s="3"/>
    </row>
    <row r="299" ht="15.75" customHeight="1">
      <c r="C299" s="3"/>
    </row>
    <row r="300" ht="15.75" customHeight="1">
      <c r="C300" s="3"/>
    </row>
    <row r="301" ht="15.75" customHeight="1">
      <c r="C301" s="3"/>
    </row>
    <row r="302" ht="15.75" customHeight="1">
      <c r="C302" s="3"/>
    </row>
    <row r="303" ht="15.75" customHeight="1">
      <c r="C303" s="3"/>
    </row>
    <row r="304" ht="15.75" customHeight="1">
      <c r="C304" s="3"/>
    </row>
    <row r="305" ht="15.75" customHeight="1">
      <c r="C305" s="3"/>
    </row>
    <row r="306" ht="15.75" customHeight="1">
      <c r="C306" s="3"/>
    </row>
    <row r="307" ht="15.75" customHeight="1">
      <c r="C307" s="3"/>
    </row>
    <row r="308" ht="15.75" customHeight="1">
      <c r="C308" s="3"/>
    </row>
    <row r="309" ht="15.75" customHeight="1">
      <c r="C309" s="3"/>
    </row>
    <row r="310" ht="15.75" customHeight="1">
      <c r="C310" s="3"/>
    </row>
    <row r="311" ht="15.75" customHeight="1">
      <c r="C311" s="3"/>
    </row>
    <row r="312" ht="15.75" customHeight="1">
      <c r="C312" s="3"/>
    </row>
    <row r="313" ht="15.75" customHeight="1">
      <c r="C313" s="3"/>
    </row>
    <row r="314" ht="15.75" customHeight="1">
      <c r="C314" s="3"/>
    </row>
    <row r="315" ht="15.75" customHeight="1">
      <c r="C315" s="3"/>
    </row>
    <row r="316" ht="15.75" customHeight="1">
      <c r="C316" s="3"/>
    </row>
    <row r="317" ht="15.75" customHeight="1">
      <c r="C317" s="3"/>
    </row>
    <row r="318" ht="15.75" customHeight="1">
      <c r="C318" s="3"/>
    </row>
    <row r="319" ht="15.75" customHeight="1">
      <c r="C319" s="3"/>
    </row>
    <row r="320" ht="15.75" customHeight="1">
      <c r="C320" s="3"/>
    </row>
    <row r="321" ht="15.75" customHeight="1">
      <c r="C321" s="3"/>
    </row>
    <row r="322" ht="15.75" customHeight="1">
      <c r="C322" s="3"/>
    </row>
    <row r="323" ht="15.75" customHeight="1">
      <c r="C323" s="3"/>
    </row>
    <row r="324" ht="15.75" customHeight="1">
      <c r="C324" s="3"/>
    </row>
    <row r="325" ht="15.75" customHeight="1">
      <c r="C325" s="3"/>
    </row>
    <row r="326" ht="15.75" customHeight="1">
      <c r="C326" s="3"/>
    </row>
    <row r="327" ht="15.75" customHeight="1">
      <c r="C327" s="3"/>
    </row>
    <row r="328" ht="15.75" customHeight="1">
      <c r="C328" s="3"/>
    </row>
    <row r="329" ht="15.75" customHeight="1">
      <c r="C329" s="3"/>
    </row>
    <row r="330" ht="15.75" customHeight="1">
      <c r="C330" s="3"/>
    </row>
    <row r="331" ht="15.75" customHeight="1">
      <c r="C331" s="3"/>
    </row>
    <row r="332" ht="15.75" customHeight="1">
      <c r="C332" s="3"/>
    </row>
    <row r="333" ht="15.75" customHeight="1">
      <c r="C333" s="3"/>
    </row>
    <row r="334" ht="15.75" customHeight="1">
      <c r="C334" s="3"/>
    </row>
    <row r="335" ht="15.75" customHeight="1">
      <c r="C335" s="3"/>
    </row>
    <row r="336" ht="15.75" customHeight="1">
      <c r="C336" s="3"/>
    </row>
    <row r="337" ht="15.75" customHeight="1">
      <c r="C337" s="3"/>
    </row>
    <row r="338" ht="15.75" customHeight="1">
      <c r="C338" s="3"/>
    </row>
    <row r="339" ht="15.75" customHeight="1">
      <c r="C339" s="3"/>
    </row>
    <row r="340" ht="15.75" customHeight="1">
      <c r="C340" s="3"/>
    </row>
    <row r="341" ht="15.75" customHeight="1">
      <c r="C341" s="3"/>
    </row>
    <row r="342" ht="15.75" customHeight="1">
      <c r="C342" s="3"/>
    </row>
    <row r="343" ht="15.75" customHeight="1">
      <c r="C343" s="3"/>
    </row>
    <row r="344" ht="15.75" customHeight="1">
      <c r="C344" s="3"/>
    </row>
    <row r="345" ht="15.75" customHeight="1">
      <c r="C345" s="3"/>
    </row>
    <row r="346" ht="15.75" customHeight="1">
      <c r="C346" s="3"/>
    </row>
    <row r="347" ht="15.75" customHeight="1">
      <c r="C347" s="3"/>
    </row>
    <row r="348" ht="15.75" customHeight="1">
      <c r="C348" s="3"/>
    </row>
    <row r="349" ht="15.75" customHeight="1">
      <c r="C349" s="3"/>
    </row>
    <row r="350" ht="15.75" customHeight="1">
      <c r="C350" s="3"/>
    </row>
    <row r="351" ht="15.75" customHeight="1">
      <c r="C351" s="3"/>
    </row>
    <row r="352" ht="15.75" customHeight="1">
      <c r="C352" s="3"/>
    </row>
    <row r="353" ht="15.75" customHeight="1">
      <c r="C353" s="3"/>
    </row>
    <row r="354" ht="15.75" customHeight="1">
      <c r="C354" s="3"/>
    </row>
    <row r="355" ht="15.75" customHeight="1">
      <c r="C355" s="3"/>
    </row>
    <row r="356" ht="15.75" customHeight="1">
      <c r="C356" s="3"/>
    </row>
    <row r="357" ht="15.75" customHeight="1">
      <c r="C357" s="3"/>
    </row>
    <row r="358" ht="15.75" customHeight="1">
      <c r="C358" s="3"/>
    </row>
    <row r="359" ht="15.75" customHeight="1">
      <c r="C359" s="3"/>
    </row>
    <row r="360" ht="15.75" customHeight="1">
      <c r="C360" s="3"/>
    </row>
    <row r="361" ht="15.75" customHeight="1">
      <c r="C361" s="3"/>
    </row>
    <row r="362" ht="15.75" customHeight="1">
      <c r="C362" s="3"/>
    </row>
    <row r="363" ht="15.75" customHeight="1">
      <c r="C363" s="3"/>
    </row>
    <row r="364" ht="15.75" customHeight="1">
      <c r="C364" s="3"/>
    </row>
    <row r="365" ht="15.75" customHeight="1">
      <c r="C365" s="3"/>
    </row>
    <row r="366" ht="15.75" customHeight="1">
      <c r="C366" s="3"/>
    </row>
    <row r="367" ht="15.75" customHeight="1">
      <c r="C367" s="3"/>
    </row>
    <row r="368" ht="15.75" customHeight="1">
      <c r="C368" s="3"/>
    </row>
    <row r="369" ht="15.75" customHeight="1">
      <c r="C369" s="3"/>
    </row>
    <row r="370" ht="15.75" customHeight="1">
      <c r="C370" s="3"/>
    </row>
    <row r="371" ht="15.75" customHeight="1">
      <c r="C371" s="3"/>
    </row>
    <row r="372" ht="15.75" customHeight="1">
      <c r="C372" s="3"/>
    </row>
    <row r="373" ht="15.75" customHeight="1">
      <c r="C373" s="3"/>
    </row>
    <row r="374" ht="15.75" customHeight="1">
      <c r="C374" s="3"/>
    </row>
    <row r="375" ht="15.75" customHeight="1">
      <c r="C375" s="3"/>
    </row>
    <row r="376" ht="15.75" customHeight="1">
      <c r="C376" s="3"/>
    </row>
    <row r="377" ht="15.75" customHeight="1">
      <c r="C377" s="3"/>
    </row>
    <row r="378" ht="15.75" customHeight="1">
      <c r="C378" s="3"/>
    </row>
    <row r="379" ht="15.75" customHeight="1">
      <c r="C379" s="3"/>
    </row>
    <row r="380" ht="15.75" customHeight="1">
      <c r="C380" s="3"/>
    </row>
    <row r="381" ht="15.75" customHeight="1">
      <c r="C381" s="3"/>
    </row>
    <row r="382" ht="15.75" customHeight="1">
      <c r="C382" s="3"/>
    </row>
    <row r="383" ht="15.75" customHeight="1">
      <c r="C383" s="3"/>
    </row>
    <row r="384" ht="15.75" customHeight="1">
      <c r="C384" s="3"/>
    </row>
    <row r="385" ht="15.75" customHeight="1">
      <c r="C385" s="3"/>
    </row>
    <row r="386" ht="15.75" customHeight="1">
      <c r="C386" s="3"/>
    </row>
    <row r="387" ht="15.75" customHeight="1">
      <c r="C387" s="3"/>
    </row>
    <row r="388" ht="15.75" customHeight="1">
      <c r="C388" s="3"/>
    </row>
    <row r="389" ht="15.75" customHeight="1">
      <c r="C389" s="3"/>
    </row>
    <row r="390" ht="15.75" customHeight="1">
      <c r="C390" s="3"/>
    </row>
    <row r="391" ht="15.75" customHeight="1">
      <c r="C391" s="3"/>
    </row>
    <row r="392" ht="15.75" customHeight="1">
      <c r="C392" s="3"/>
    </row>
    <row r="393" ht="15.75" customHeight="1">
      <c r="C393" s="3"/>
    </row>
    <row r="394" ht="15.75" customHeight="1">
      <c r="C394" s="3"/>
    </row>
    <row r="395" ht="15.75" customHeight="1">
      <c r="C395" s="3"/>
    </row>
    <row r="396" ht="15.75" customHeight="1">
      <c r="C396" s="3"/>
    </row>
    <row r="397" ht="15.75" customHeight="1">
      <c r="C397" s="3"/>
    </row>
    <row r="398" ht="15.75" customHeight="1">
      <c r="C398" s="3"/>
    </row>
    <row r="399" ht="15.75" customHeight="1">
      <c r="C399" s="3"/>
    </row>
    <row r="400" ht="15.75" customHeight="1">
      <c r="C400" s="3"/>
    </row>
    <row r="401" ht="15.75" customHeight="1">
      <c r="C401" s="3"/>
    </row>
    <row r="402" ht="15.75" customHeight="1">
      <c r="C402" s="3"/>
    </row>
    <row r="403" ht="15.75" customHeight="1">
      <c r="C403" s="3"/>
    </row>
    <row r="404" ht="15.75" customHeight="1">
      <c r="C404" s="3"/>
    </row>
    <row r="405" ht="15.75" customHeight="1">
      <c r="C405" s="3"/>
    </row>
    <row r="406" ht="15.75" customHeight="1">
      <c r="C406" s="3"/>
    </row>
    <row r="407" ht="15.75" customHeight="1">
      <c r="C407" s="3"/>
    </row>
    <row r="408" ht="15.75" customHeight="1">
      <c r="C408" s="3"/>
    </row>
    <row r="409" ht="15.75" customHeight="1">
      <c r="C409" s="3"/>
    </row>
    <row r="410" ht="15.75" customHeight="1">
      <c r="C410" s="3"/>
    </row>
    <row r="411" ht="15.75" customHeight="1">
      <c r="C411" s="3"/>
    </row>
    <row r="412" ht="15.75" customHeight="1">
      <c r="C412" s="3"/>
    </row>
    <row r="413" ht="15.75" customHeight="1">
      <c r="C413" s="3"/>
    </row>
    <row r="414" ht="15.75" customHeight="1">
      <c r="C414" s="3"/>
    </row>
    <row r="415" ht="15.75" customHeight="1">
      <c r="C415" s="3"/>
    </row>
    <row r="416" ht="15.75" customHeight="1">
      <c r="C416" s="3"/>
    </row>
    <row r="417" ht="15.75" customHeight="1">
      <c r="C417" s="3"/>
    </row>
    <row r="418" ht="15.75" customHeight="1">
      <c r="C418" s="3"/>
    </row>
    <row r="419" ht="15.75" customHeight="1">
      <c r="C419" s="3"/>
    </row>
    <row r="420" ht="15.75" customHeight="1">
      <c r="C420" s="3"/>
    </row>
    <row r="421" ht="15.75" customHeight="1">
      <c r="C421" s="3"/>
    </row>
    <row r="422" ht="15.75" customHeight="1">
      <c r="C422" s="3"/>
    </row>
    <row r="423" ht="15.75" customHeight="1">
      <c r="C423" s="3"/>
    </row>
    <row r="424" ht="15.75" customHeight="1">
      <c r="C424" s="3"/>
    </row>
    <row r="425" ht="15.75" customHeight="1">
      <c r="C425" s="3"/>
    </row>
    <row r="426" ht="15.75" customHeight="1">
      <c r="C426" s="3"/>
    </row>
    <row r="427" ht="15.75" customHeight="1">
      <c r="C427" s="3"/>
    </row>
    <row r="428" ht="15.75" customHeight="1">
      <c r="C428" s="3"/>
    </row>
    <row r="429" ht="15.75" customHeight="1">
      <c r="C429" s="3"/>
    </row>
    <row r="430" ht="15.75" customHeight="1">
      <c r="C430" s="3"/>
    </row>
    <row r="431" ht="15.75" customHeight="1">
      <c r="C431" s="3"/>
    </row>
    <row r="432" ht="15.75" customHeight="1">
      <c r="C432" s="3"/>
    </row>
    <row r="433" ht="15.75" customHeight="1">
      <c r="C433" s="3"/>
    </row>
    <row r="434" ht="15.75" customHeight="1">
      <c r="C434" s="3"/>
    </row>
    <row r="435" ht="15.75" customHeight="1">
      <c r="C435" s="3"/>
    </row>
    <row r="436" ht="15.75" customHeight="1">
      <c r="C436" s="3"/>
    </row>
    <row r="437" ht="15.75" customHeight="1">
      <c r="C437" s="3"/>
    </row>
    <row r="438" ht="15.75" customHeight="1">
      <c r="C438" s="3"/>
    </row>
    <row r="439" ht="15.75" customHeight="1">
      <c r="C439" s="3"/>
    </row>
    <row r="440" ht="15.75" customHeight="1">
      <c r="C440" s="3"/>
    </row>
    <row r="441" ht="15.75" customHeight="1">
      <c r="C441" s="3"/>
    </row>
    <row r="442" ht="15.75" customHeight="1">
      <c r="C442" s="3"/>
    </row>
    <row r="443" ht="15.75" customHeight="1">
      <c r="C443" s="3"/>
    </row>
    <row r="444" ht="15.75" customHeight="1">
      <c r="C444" s="3"/>
    </row>
    <row r="445" ht="15.75" customHeight="1">
      <c r="C445" s="3"/>
    </row>
    <row r="446" ht="15.75" customHeight="1">
      <c r="C446" s="3"/>
    </row>
    <row r="447" ht="15.75" customHeight="1">
      <c r="C447" s="3"/>
    </row>
    <row r="448" ht="15.75" customHeight="1">
      <c r="C448" s="3"/>
    </row>
    <row r="449" ht="15.75" customHeight="1">
      <c r="C449" s="3"/>
    </row>
    <row r="450" ht="15.75" customHeight="1">
      <c r="C450" s="3"/>
    </row>
    <row r="451" ht="15.75" customHeight="1">
      <c r="C451" s="3"/>
    </row>
    <row r="452" ht="15.75" customHeight="1">
      <c r="C452" s="3"/>
    </row>
    <row r="453" ht="15.75" customHeight="1">
      <c r="C453" s="3"/>
    </row>
    <row r="454" ht="15.75" customHeight="1">
      <c r="C454" s="3"/>
    </row>
    <row r="455" ht="15.75" customHeight="1">
      <c r="C455" s="3"/>
    </row>
    <row r="456" ht="15.75" customHeight="1">
      <c r="C456" s="3"/>
    </row>
    <row r="457" ht="15.75" customHeight="1">
      <c r="C457" s="3"/>
    </row>
    <row r="458" ht="15.75" customHeight="1">
      <c r="C458" s="3"/>
    </row>
    <row r="459" ht="15.75" customHeight="1">
      <c r="C459" s="3"/>
    </row>
    <row r="460" ht="15.75" customHeight="1">
      <c r="C460" s="3"/>
    </row>
    <row r="461" ht="15.75" customHeight="1">
      <c r="C461" s="3"/>
    </row>
    <row r="462" ht="15.75" customHeight="1">
      <c r="C462" s="3"/>
    </row>
    <row r="463" ht="15.75" customHeight="1">
      <c r="C463" s="3"/>
    </row>
    <row r="464" ht="15.75" customHeight="1">
      <c r="C464" s="3"/>
    </row>
    <row r="465" ht="15.75" customHeight="1">
      <c r="C465" s="3"/>
    </row>
    <row r="466" ht="15.75" customHeight="1">
      <c r="C466" s="3"/>
    </row>
    <row r="467" ht="15.75" customHeight="1">
      <c r="C467" s="3"/>
    </row>
    <row r="468" ht="15.75" customHeight="1">
      <c r="C468" s="3"/>
    </row>
    <row r="469" ht="15.75" customHeight="1">
      <c r="C469" s="3"/>
    </row>
    <row r="470" ht="15.75" customHeight="1">
      <c r="C470" s="3"/>
    </row>
    <row r="471" ht="15.75" customHeight="1">
      <c r="C471" s="3"/>
    </row>
    <row r="472" ht="15.75" customHeight="1">
      <c r="C472" s="3"/>
    </row>
    <row r="473" ht="15.75" customHeight="1">
      <c r="C473" s="3"/>
    </row>
    <row r="474" ht="15.75" customHeight="1">
      <c r="C474" s="3"/>
    </row>
    <row r="475" ht="15.75" customHeight="1">
      <c r="C475" s="3"/>
    </row>
    <row r="476" ht="15.75" customHeight="1">
      <c r="C476" s="3"/>
    </row>
    <row r="477" ht="15.75" customHeight="1">
      <c r="C477" s="3"/>
    </row>
    <row r="478" ht="15.75" customHeight="1">
      <c r="C478" s="3"/>
    </row>
    <row r="479" ht="15.75" customHeight="1">
      <c r="C479" s="3"/>
    </row>
    <row r="480" ht="15.75" customHeight="1">
      <c r="C480" s="3"/>
    </row>
    <row r="481" ht="15.75" customHeight="1">
      <c r="C481" s="3"/>
    </row>
    <row r="482" ht="15.75" customHeight="1">
      <c r="C482" s="3"/>
    </row>
    <row r="483" ht="15.75" customHeight="1">
      <c r="C483" s="3"/>
    </row>
    <row r="484" ht="15.75" customHeight="1">
      <c r="C484" s="3"/>
    </row>
    <row r="485" ht="15.75" customHeight="1">
      <c r="C485" s="3"/>
    </row>
    <row r="486" ht="15.75" customHeight="1">
      <c r="C486" s="3"/>
    </row>
    <row r="487" ht="15.75" customHeight="1">
      <c r="C487" s="3"/>
    </row>
    <row r="488" ht="15.75" customHeight="1">
      <c r="C488" s="3"/>
    </row>
    <row r="489" ht="15.75" customHeight="1">
      <c r="C489" s="3"/>
    </row>
    <row r="490" ht="15.75" customHeight="1">
      <c r="C490" s="3"/>
    </row>
    <row r="491" ht="15.75" customHeight="1">
      <c r="C491" s="3"/>
    </row>
    <row r="492" ht="15.75" customHeight="1">
      <c r="C492" s="3"/>
    </row>
    <row r="493" ht="15.75" customHeight="1">
      <c r="C493" s="3"/>
    </row>
    <row r="494" ht="15.75" customHeight="1">
      <c r="C494" s="3"/>
    </row>
    <row r="495" ht="15.75" customHeight="1">
      <c r="C495" s="3"/>
    </row>
    <row r="496" ht="15.75" customHeight="1">
      <c r="C496" s="3"/>
    </row>
    <row r="497" ht="15.75" customHeight="1">
      <c r="C497" s="3"/>
    </row>
    <row r="498" ht="15.75" customHeight="1">
      <c r="C498" s="3"/>
    </row>
    <row r="499" ht="15.75" customHeight="1">
      <c r="C499" s="3"/>
    </row>
    <row r="500" ht="15.75" customHeight="1">
      <c r="C500" s="3"/>
    </row>
    <row r="501" ht="15.75" customHeight="1">
      <c r="C501" s="3"/>
    </row>
    <row r="502" ht="15.75" customHeight="1">
      <c r="C502" s="3"/>
    </row>
    <row r="503" ht="15.75" customHeight="1">
      <c r="C503" s="3"/>
    </row>
    <row r="504" ht="15.75" customHeight="1">
      <c r="C504" s="3"/>
    </row>
    <row r="505" ht="15.75" customHeight="1">
      <c r="C505" s="3"/>
    </row>
    <row r="506" ht="15.75" customHeight="1">
      <c r="C506" s="3"/>
    </row>
    <row r="507" ht="15.75" customHeight="1">
      <c r="C507" s="3"/>
    </row>
    <row r="508" ht="15.75" customHeight="1">
      <c r="C508" s="3"/>
    </row>
    <row r="509" ht="15.75" customHeight="1">
      <c r="C509" s="3"/>
    </row>
    <row r="510" ht="15.75" customHeight="1">
      <c r="C510" s="3"/>
    </row>
    <row r="511" ht="15.75" customHeight="1">
      <c r="C511" s="3"/>
    </row>
    <row r="512" ht="15.75" customHeight="1">
      <c r="C512" s="3"/>
    </row>
    <row r="513" ht="15.75" customHeight="1">
      <c r="C513" s="3"/>
    </row>
    <row r="514" ht="15.75" customHeight="1">
      <c r="C514" s="3"/>
    </row>
    <row r="515" ht="15.75" customHeight="1">
      <c r="C515" s="3"/>
    </row>
    <row r="516" ht="15.75" customHeight="1">
      <c r="C516" s="3"/>
    </row>
    <row r="517" ht="15.75" customHeight="1">
      <c r="C517" s="3"/>
    </row>
    <row r="518" ht="15.75" customHeight="1">
      <c r="C518" s="3"/>
    </row>
    <row r="519" ht="15.75" customHeight="1">
      <c r="C519" s="3"/>
    </row>
    <row r="520" ht="15.75" customHeight="1">
      <c r="C520" s="3"/>
    </row>
    <row r="521" ht="15.75" customHeight="1">
      <c r="C521" s="3"/>
    </row>
    <row r="522" ht="15.75" customHeight="1">
      <c r="C522" s="3"/>
    </row>
    <row r="523" ht="15.75" customHeight="1">
      <c r="C523" s="3"/>
    </row>
    <row r="524" ht="15.75" customHeight="1">
      <c r="C524" s="3"/>
    </row>
    <row r="525" ht="15.75" customHeight="1">
      <c r="C525" s="3"/>
    </row>
    <row r="526" ht="15.75" customHeight="1">
      <c r="C526" s="3"/>
    </row>
    <row r="527" ht="15.75" customHeight="1">
      <c r="C527" s="3"/>
    </row>
    <row r="528" ht="15.75" customHeight="1">
      <c r="C528" s="3"/>
    </row>
    <row r="529" ht="15.75" customHeight="1">
      <c r="C529" s="3"/>
    </row>
    <row r="530" ht="15.75" customHeight="1">
      <c r="C530" s="3"/>
    </row>
    <row r="531" ht="15.75" customHeight="1">
      <c r="C531" s="3"/>
    </row>
    <row r="532" ht="15.75" customHeight="1">
      <c r="C532" s="3"/>
    </row>
    <row r="533" ht="15.75" customHeight="1">
      <c r="C533" s="3"/>
    </row>
    <row r="534" ht="15.75" customHeight="1">
      <c r="C534" s="3"/>
    </row>
    <row r="535" ht="15.75" customHeight="1">
      <c r="C535" s="3"/>
    </row>
    <row r="536" ht="15.75" customHeight="1">
      <c r="C536" s="3"/>
    </row>
    <row r="537" ht="15.75" customHeight="1">
      <c r="C537" s="3"/>
    </row>
    <row r="538" ht="15.75" customHeight="1">
      <c r="C538" s="3"/>
    </row>
    <row r="539" ht="15.75" customHeight="1">
      <c r="C539" s="3"/>
    </row>
    <row r="540" ht="15.75" customHeight="1">
      <c r="C540" s="3"/>
    </row>
    <row r="541" ht="15.75" customHeight="1">
      <c r="C541" s="3"/>
    </row>
    <row r="542" ht="15.75" customHeight="1">
      <c r="C542" s="3"/>
    </row>
    <row r="543" ht="15.75" customHeight="1">
      <c r="C543" s="3"/>
    </row>
    <row r="544" ht="15.75" customHeight="1">
      <c r="C544" s="3"/>
    </row>
    <row r="545" ht="15.75" customHeight="1">
      <c r="C545" s="3"/>
    </row>
    <row r="546" ht="15.75" customHeight="1">
      <c r="C546" s="3"/>
    </row>
    <row r="547" ht="15.75" customHeight="1">
      <c r="C547" s="3"/>
    </row>
    <row r="548" ht="15.75" customHeight="1">
      <c r="C548" s="3"/>
    </row>
    <row r="549" ht="15.75" customHeight="1">
      <c r="C549" s="3"/>
    </row>
    <row r="550" ht="15.75" customHeight="1">
      <c r="C550" s="3"/>
    </row>
    <row r="551" ht="15.75" customHeight="1">
      <c r="C551" s="3"/>
    </row>
    <row r="552" ht="15.75" customHeight="1">
      <c r="C552" s="3"/>
    </row>
    <row r="553" ht="15.75" customHeight="1">
      <c r="C553" s="3"/>
    </row>
    <row r="554" ht="15.75" customHeight="1">
      <c r="C554" s="3"/>
    </row>
    <row r="555" ht="15.75" customHeight="1">
      <c r="C555" s="3"/>
    </row>
    <row r="556" ht="15.75" customHeight="1">
      <c r="C556" s="3"/>
    </row>
    <row r="557" ht="15.75" customHeight="1">
      <c r="C557" s="3"/>
    </row>
    <row r="558" ht="15.75" customHeight="1">
      <c r="C558" s="3"/>
    </row>
    <row r="559" ht="15.75" customHeight="1">
      <c r="C559" s="3"/>
    </row>
    <row r="560" ht="15.75" customHeight="1">
      <c r="C560" s="3"/>
    </row>
    <row r="561" ht="15.75" customHeight="1">
      <c r="C561" s="3"/>
    </row>
    <row r="562" ht="15.75" customHeight="1">
      <c r="C562" s="3"/>
    </row>
    <row r="563" ht="15.75" customHeight="1">
      <c r="C563" s="3"/>
    </row>
    <row r="564" ht="15.75" customHeight="1">
      <c r="C564" s="3"/>
    </row>
    <row r="565" ht="15.75" customHeight="1">
      <c r="C565" s="3"/>
    </row>
    <row r="566" ht="15.75" customHeight="1">
      <c r="C566" s="3"/>
    </row>
    <row r="567" ht="15.75" customHeight="1">
      <c r="C567" s="3"/>
    </row>
    <row r="568" ht="15.75" customHeight="1">
      <c r="C568" s="3"/>
    </row>
    <row r="569" ht="15.75" customHeight="1">
      <c r="C569" s="3"/>
    </row>
    <row r="570" ht="15.75" customHeight="1">
      <c r="C570" s="3"/>
    </row>
    <row r="571" ht="15.75" customHeight="1">
      <c r="C571" s="3"/>
    </row>
    <row r="572" ht="15.75" customHeight="1">
      <c r="C572" s="3"/>
    </row>
    <row r="573" ht="15.75" customHeight="1">
      <c r="C573" s="3"/>
    </row>
    <row r="574" ht="15.75" customHeight="1">
      <c r="C574" s="3"/>
    </row>
    <row r="575" ht="15.75" customHeight="1">
      <c r="C575" s="3"/>
    </row>
    <row r="576" ht="15.75" customHeight="1">
      <c r="C576" s="3"/>
    </row>
    <row r="577" ht="15.75" customHeight="1">
      <c r="C577" s="3"/>
    </row>
    <row r="578" ht="15.75" customHeight="1">
      <c r="C578" s="3"/>
    </row>
    <row r="579" ht="15.75" customHeight="1">
      <c r="C579" s="3"/>
    </row>
    <row r="580" ht="15.75" customHeight="1">
      <c r="C580" s="3"/>
    </row>
    <row r="581" ht="15.75" customHeight="1">
      <c r="C581" s="3"/>
    </row>
    <row r="582" ht="15.75" customHeight="1">
      <c r="C582" s="3"/>
    </row>
    <row r="583" ht="15.75" customHeight="1">
      <c r="C583" s="3"/>
    </row>
    <row r="584" ht="15.75" customHeight="1">
      <c r="C584" s="3"/>
    </row>
    <row r="585" ht="15.75" customHeight="1">
      <c r="C585" s="3"/>
    </row>
    <row r="586" ht="15.75" customHeight="1">
      <c r="C586" s="3"/>
    </row>
    <row r="587" ht="15.75" customHeight="1">
      <c r="C587" s="3"/>
    </row>
    <row r="588" ht="15.75" customHeight="1">
      <c r="C588" s="3"/>
    </row>
    <row r="589" ht="15.75" customHeight="1">
      <c r="C589" s="3"/>
    </row>
    <row r="590" ht="15.75" customHeight="1">
      <c r="C590" s="3"/>
    </row>
    <row r="591" ht="15.75" customHeight="1">
      <c r="C591" s="3"/>
    </row>
    <row r="592" ht="15.75" customHeight="1">
      <c r="C592" s="3"/>
    </row>
    <row r="593" ht="15.75" customHeight="1">
      <c r="C593" s="3"/>
    </row>
    <row r="594" ht="15.75" customHeight="1">
      <c r="C594" s="3"/>
    </row>
    <row r="595" ht="15.75" customHeight="1">
      <c r="C595" s="3"/>
    </row>
    <row r="596" ht="15.75" customHeight="1">
      <c r="C596" s="3"/>
    </row>
    <row r="597" ht="15.75" customHeight="1">
      <c r="C597" s="3"/>
    </row>
    <row r="598" ht="15.75" customHeight="1">
      <c r="C598" s="3"/>
    </row>
    <row r="599" ht="15.75" customHeight="1">
      <c r="C599" s="3"/>
    </row>
    <row r="600" ht="15.75" customHeight="1">
      <c r="C600" s="3"/>
    </row>
    <row r="601" ht="15.75" customHeight="1">
      <c r="C601" s="3"/>
    </row>
    <row r="602" ht="15.75" customHeight="1">
      <c r="C602" s="3"/>
    </row>
    <row r="603" ht="15.75" customHeight="1">
      <c r="C603" s="3"/>
    </row>
    <row r="604" ht="15.75" customHeight="1">
      <c r="C604" s="3"/>
    </row>
    <row r="605" ht="15.75" customHeight="1">
      <c r="C605" s="3"/>
    </row>
    <row r="606" ht="15.75" customHeight="1">
      <c r="C606" s="3"/>
    </row>
    <row r="607" ht="15.75" customHeight="1">
      <c r="C607" s="3"/>
    </row>
    <row r="608" ht="15.75" customHeight="1">
      <c r="C608" s="3"/>
    </row>
    <row r="609" ht="15.75" customHeight="1">
      <c r="C609" s="3"/>
    </row>
    <row r="610" ht="15.75" customHeight="1">
      <c r="C610" s="3"/>
    </row>
    <row r="611" ht="15.75" customHeight="1">
      <c r="C611" s="3"/>
    </row>
    <row r="612" ht="15.75" customHeight="1">
      <c r="C612" s="3"/>
    </row>
    <row r="613" ht="15.75" customHeight="1">
      <c r="C613" s="3"/>
    </row>
    <row r="614" ht="15.75" customHeight="1">
      <c r="C614" s="3"/>
    </row>
    <row r="615" ht="15.75" customHeight="1">
      <c r="C615" s="3"/>
    </row>
    <row r="616" ht="15.75" customHeight="1">
      <c r="C616" s="3"/>
    </row>
    <row r="617" ht="15.75" customHeight="1">
      <c r="C617" s="3"/>
    </row>
    <row r="618" ht="15.75" customHeight="1">
      <c r="C618" s="3"/>
    </row>
    <row r="619" ht="15.75" customHeight="1">
      <c r="C619" s="3"/>
    </row>
    <row r="620" ht="15.75" customHeight="1">
      <c r="C620" s="3"/>
    </row>
    <row r="621" ht="15.75" customHeight="1">
      <c r="C621" s="3"/>
    </row>
    <row r="622" ht="15.75" customHeight="1">
      <c r="C622" s="3"/>
    </row>
    <row r="623" ht="15.75" customHeight="1">
      <c r="C623" s="3"/>
    </row>
    <row r="624" ht="15.75" customHeight="1">
      <c r="C624" s="3"/>
    </row>
    <row r="625" ht="15.75" customHeight="1">
      <c r="C625" s="3"/>
    </row>
    <row r="626" ht="15.75" customHeight="1">
      <c r="C626" s="3"/>
    </row>
    <row r="627" ht="15.75" customHeight="1">
      <c r="C627" s="3"/>
    </row>
    <row r="628" ht="15.75" customHeight="1">
      <c r="C628" s="3"/>
    </row>
    <row r="629" ht="15.75" customHeight="1">
      <c r="C629" s="3"/>
    </row>
    <row r="630" ht="15.75" customHeight="1">
      <c r="C630" s="3"/>
    </row>
    <row r="631" ht="15.75" customHeight="1">
      <c r="C631" s="3"/>
    </row>
    <row r="632" ht="15.75" customHeight="1">
      <c r="C632" s="3"/>
    </row>
    <row r="633" ht="15.75" customHeight="1">
      <c r="C633" s="3"/>
    </row>
    <row r="634" ht="15.75" customHeight="1">
      <c r="C634" s="3"/>
    </row>
    <row r="635" ht="15.75" customHeight="1">
      <c r="C635" s="3"/>
    </row>
    <row r="636" ht="15.75" customHeight="1">
      <c r="C636" s="3"/>
    </row>
    <row r="637" ht="15.75" customHeight="1">
      <c r="C637" s="3"/>
    </row>
    <row r="638" ht="15.75" customHeight="1">
      <c r="C638" s="3"/>
    </row>
    <row r="639" ht="15.75" customHeight="1">
      <c r="C639" s="3"/>
    </row>
    <row r="640" ht="15.75" customHeight="1">
      <c r="C640" s="3"/>
    </row>
    <row r="641" ht="15.75" customHeight="1">
      <c r="C641" s="3"/>
    </row>
    <row r="642" ht="15.75" customHeight="1">
      <c r="C642" s="3"/>
    </row>
    <row r="643" ht="15.75" customHeight="1">
      <c r="C643" s="3"/>
    </row>
    <row r="644" ht="15.75" customHeight="1">
      <c r="C644" s="3"/>
    </row>
    <row r="645" ht="15.75" customHeight="1">
      <c r="C645" s="3"/>
    </row>
    <row r="646" ht="15.75" customHeight="1">
      <c r="C646" s="3"/>
    </row>
    <row r="647" ht="15.75" customHeight="1">
      <c r="C647" s="3"/>
    </row>
    <row r="648" ht="15.75" customHeight="1">
      <c r="C648" s="3"/>
    </row>
    <row r="649" ht="15.75" customHeight="1">
      <c r="C649" s="3"/>
    </row>
    <row r="650" ht="15.75" customHeight="1">
      <c r="C650" s="3"/>
    </row>
    <row r="651" ht="15.75" customHeight="1">
      <c r="C651" s="3"/>
    </row>
    <row r="652" ht="15.75" customHeight="1">
      <c r="C652" s="3"/>
    </row>
    <row r="653" ht="15.75" customHeight="1">
      <c r="C653" s="3"/>
    </row>
    <row r="654" ht="15.75" customHeight="1">
      <c r="C654" s="3"/>
    </row>
    <row r="655" ht="15.75" customHeight="1">
      <c r="C655" s="3"/>
    </row>
    <row r="656" ht="15.75" customHeight="1">
      <c r="C656" s="3"/>
    </row>
    <row r="657" ht="15.75" customHeight="1">
      <c r="C657" s="3"/>
    </row>
    <row r="658" ht="15.75" customHeight="1">
      <c r="C658" s="3"/>
    </row>
    <row r="659" ht="15.75" customHeight="1">
      <c r="C659" s="3"/>
    </row>
    <row r="660" ht="15.75" customHeight="1">
      <c r="C660" s="3"/>
    </row>
    <row r="661" ht="15.75" customHeight="1">
      <c r="C661" s="3"/>
    </row>
    <row r="662" ht="15.75" customHeight="1">
      <c r="C662" s="3"/>
    </row>
    <row r="663" ht="15.75" customHeight="1">
      <c r="C663" s="3"/>
    </row>
    <row r="664" ht="15.75" customHeight="1">
      <c r="C664" s="3"/>
    </row>
    <row r="665" ht="15.75" customHeight="1">
      <c r="C665" s="3"/>
    </row>
    <row r="666" ht="15.75" customHeight="1">
      <c r="C666" s="3"/>
    </row>
    <row r="667" ht="15.75" customHeight="1">
      <c r="C667" s="3"/>
    </row>
    <row r="668" ht="15.75" customHeight="1">
      <c r="C668" s="3"/>
    </row>
    <row r="669" ht="15.75" customHeight="1">
      <c r="C669" s="3"/>
    </row>
    <row r="670" ht="15.75" customHeight="1">
      <c r="C670" s="3"/>
    </row>
    <row r="671" ht="15.75" customHeight="1">
      <c r="C671" s="3"/>
    </row>
    <row r="672" ht="15.75" customHeight="1">
      <c r="C672" s="3"/>
    </row>
    <row r="673" ht="15.75" customHeight="1">
      <c r="C673" s="3"/>
    </row>
    <row r="674" ht="15.75" customHeight="1">
      <c r="C674" s="3"/>
    </row>
    <row r="675" ht="15.75" customHeight="1">
      <c r="C675" s="3"/>
    </row>
    <row r="676" ht="15.75" customHeight="1">
      <c r="C676" s="3"/>
    </row>
    <row r="677" ht="15.75" customHeight="1">
      <c r="C677" s="3"/>
    </row>
    <row r="678" ht="15.75" customHeight="1">
      <c r="C678" s="3"/>
    </row>
    <row r="679" ht="15.75" customHeight="1">
      <c r="C679" s="3"/>
    </row>
    <row r="680" ht="15.75" customHeight="1">
      <c r="C680" s="3"/>
    </row>
    <row r="681" ht="15.75" customHeight="1">
      <c r="C681" s="3"/>
    </row>
    <row r="682" ht="15.75" customHeight="1">
      <c r="C682" s="3"/>
    </row>
    <row r="683" ht="15.75" customHeight="1">
      <c r="C683" s="3"/>
    </row>
    <row r="684" ht="15.75" customHeight="1">
      <c r="C684" s="3"/>
    </row>
    <row r="685" ht="15.75" customHeight="1">
      <c r="C685" s="3"/>
    </row>
    <row r="686" ht="15.75" customHeight="1">
      <c r="C686" s="3"/>
    </row>
    <row r="687" ht="15.75" customHeight="1">
      <c r="C687" s="3"/>
    </row>
    <row r="688" ht="15.75" customHeight="1">
      <c r="C688" s="3"/>
    </row>
    <row r="689" ht="15.75" customHeight="1">
      <c r="C689" s="3"/>
    </row>
    <row r="690" ht="15.75" customHeight="1">
      <c r="C690" s="3"/>
    </row>
    <row r="691" ht="15.75" customHeight="1">
      <c r="C691" s="3"/>
    </row>
    <row r="692" ht="15.75" customHeight="1">
      <c r="C692" s="3"/>
    </row>
    <row r="693" ht="15.75" customHeight="1">
      <c r="C693" s="3"/>
    </row>
    <row r="694" ht="15.75" customHeight="1">
      <c r="C694" s="3"/>
    </row>
    <row r="695" ht="15.75" customHeight="1">
      <c r="C695" s="3"/>
    </row>
    <row r="696" ht="15.75" customHeight="1">
      <c r="C696" s="3"/>
    </row>
    <row r="697" ht="15.75" customHeight="1">
      <c r="C697" s="3"/>
    </row>
    <row r="698" ht="15.75" customHeight="1">
      <c r="C698" s="3"/>
    </row>
    <row r="699" ht="15.75" customHeight="1">
      <c r="C699" s="3"/>
    </row>
    <row r="700" ht="15.75" customHeight="1">
      <c r="C700" s="3"/>
    </row>
    <row r="701" ht="15.75" customHeight="1">
      <c r="C701" s="3"/>
    </row>
    <row r="702" ht="15.75" customHeight="1">
      <c r="C702" s="3"/>
    </row>
    <row r="703" ht="15.75" customHeight="1">
      <c r="C703" s="3"/>
    </row>
    <row r="704" ht="15.75" customHeight="1">
      <c r="C704" s="3"/>
    </row>
    <row r="705" ht="15.75" customHeight="1">
      <c r="C705" s="3"/>
    </row>
    <row r="706" ht="15.75" customHeight="1">
      <c r="C706" s="3"/>
    </row>
    <row r="707" ht="15.75" customHeight="1">
      <c r="C707" s="3"/>
    </row>
    <row r="708" ht="15.75" customHeight="1">
      <c r="C708" s="3"/>
    </row>
    <row r="709" ht="15.75" customHeight="1">
      <c r="C709" s="3"/>
    </row>
    <row r="710" ht="15.75" customHeight="1">
      <c r="C710" s="3"/>
    </row>
    <row r="711" ht="15.75" customHeight="1">
      <c r="C711" s="3"/>
    </row>
    <row r="712" ht="15.75" customHeight="1">
      <c r="C712" s="3"/>
    </row>
    <row r="713" ht="15.75" customHeight="1">
      <c r="C713" s="3"/>
    </row>
    <row r="714" ht="15.75" customHeight="1">
      <c r="C714" s="3"/>
    </row>
    <row r="715" ht="15.75" customHeight="1">
      <c r="C715" s="3"/>
    </row>
    <row r="716" ht="15.75" customHeight="1">
      <c r="C716" s="3"/>
    </row>
    <row r="717" ht="15.75" customHeight="1">
      <c r="C717" s="3"/>
    </row>
    <row r="718" ht="15.75" customHeight="1">
      <c r="C718" s="3"/>
    </row>
    <row r="719" ht="15.75" customHeight="1">
      <c r="C719" s="3"/>
    </row>
    <row r="720" ht="15.75" customHeight="1">
      <c r="C720" s="3"/>
    </row>
    <row r="721" ht="15.75" customHeight="1">
      <c r="C721" s="3"/>
    </row>
    <row r="722" ht="15.75" customHeight="1">
      <c r="C722" s="3"/>
    </row>
    <row r="723" ht="15.75" customHeight="1">
      <c r="C723" s="3"/>
    </row>
    <row r="724" ht="15.75" customHeight="1">
      <c r="C724" s="3"/>
    </row>
    <row r="725" ht="15.75" customHeight="1">
      <c r="C725" s="3"/>
    </row>
    <row r="726" ht="15.75" customHeight="1">
      <c r="C726" s="3"/>
    </row>
    <row r="727" ht="15.75" customHeight="1">
      <c r="C727" s="3"/>
    </row>
    <row r="728" ht="15.75" customHeight="1">
      <c r="C728" s="3"/>
    </row>
    <row r="729" ht="15.75" customHeight="1">
      <c r="C729" s="3"/>
    </row>
    <row r="730" ht="15.75" customHeight="1">
      <c r="C730" s="3"/>
    </row>
    <row r="731" ht="15.75" customHeight="1">
      <c r="C731" s="3"/>
    </row>
    <row r="732" ht="15.75" customHeight="1">
      <c r="C732" s="3"/>
    </row>
    <row r="733" ht="15.75" customHeight="1">
      <c r="C733" s="3"/>
    </row>
    <row r="734" ht="15.75" customHeight="1">
      <c r="C734" s="3"/>
    </row>
    <row r="735" ht="15.75" customHeight="1">
      <c r="C735" s="3"/>
    </row>
    <row r="736" ht="15.75" customHeight="1">
      <c r="C736" s="3"/>
    </row>
    <row r="737" ht="15.75" customHeight="1">
      <c r="C737" s="3"/>
    </row>
    <row r="738" ht="15.75" customHeight="1">
      <c r="C738" s="3"/>
    </row>
    <row r="739" ht="15.75" customHeight="1">
      <c r="C739" s="3"/>
    </row>
    <row r="740" ht="15.75" customHeight="1">
      <c r="C740" s="3"/>
    </row>
    <row r="741" ht="15.75" customHeight="1">
      <c r="C741" s="3"/>
    </row>
    <row r="742" ht="15.75" customHeight="1">
      <c r="C742" s="3"/>
    </row>
    <row r="743" ht="15.75" customHeight="1">
      <c r="C743" s="3"/>
    </row>
    <row r="744" ht="15.75" customHeight="1">
      <c r="C744" s="3"/>
    </row>
    <row r="745" ht="15.75" customHeight="1">
      <c r="C745" s="3"/>
    </row>
    <row r="746" ht="15.75" customHeight="1">
      <c r="C746" s="3"/>
    </row>
    <row r="747" ht="15.75" customHeight="1">
      <c r="C747" s="3"/>
    </row>
    <row r="748" ht="15.75" customHeight="1">
      <c r="C748" s="3"/>
    </row>
    <row r="749" ht="15.75" customHeight="1">
      <c r="C749" s="3"/>
    </row>
    <row r="750" ht="15.75" customHeight="1">
      <c r="C750" s="3"/>
    </row>
    <row r="751" ht="15.75" customHeight="1">
      <c r="C751" s="3"/>
    </row>
    <row r="752" ht="15.75" customHeight="1">
      <c r="C752" s="3"/>
    </row>
    <row r="753" ht="15.75" customHeight="1">
      <c r="C753" s="3"/>
    </row>
    <row r="754" ht="15.75" customHeight="1">
      <c r="C754" s="3"/>
    </row>
    <row r="755" ht="15.75" customHeight="1">
      <c r="C755" s="3"/>
    </row>
    <row r="756" ht="15.75" customHeight="1">
      <c r="C756" s="3"/>
    </row>
    <row r="757" ht="15.75" customHeight="1">
      <c r="C757" s="3"/>
    </row>
    <row r="758" ht="15.75" customHeight="1">
      <c r="C758" s="3"/>
    </row>
    <row r="759" ht="15.75" customHeight="1">
      <c r="C759" s="3"/>
    </row>
    <row r="760" ht="15.75" customHeight="1">
      <c r="C760" s="3"/>
    </row>
    <row r="761" ht="15.75" customHeight="1">
      <c r="C761" s="3"/>
    </row>
    <row r="762" ht="15.75" customHeight="1">
      <c r="C762" s="3"/>
    </row>
    <row r="763" ht="15.75" customHeight="1">
      <c r="C763" s="3"/>
    </row>
    <row r="764" ht="15.75" customHeight="1">
      <c r="C764" s="3"/>
    </row>
    <row r="765" ht="15.75" customHeight="1">
      <c r="C765" s="3"/>
    </row>
    <row r="766" ht="15.75" customHeight="1">
      <c r="C766" s="3"/>
    </row>
    <row r="767" ht="15.75" customHeight="1">
      <c r="C767" s="3"/>
    </row>
    <row r="768" ht="15.75" customHeight="1">
      <c r="C768" s="3"/>
    </row>
    <row r="769" ht="15.75" customHeight="1">
      <c r="C769" s="3"/>
    </row>
    <row r="770" ht="15.75" customHeight="1">
      <c r="C770" s="3"/>
    </row>
    <row r="771" ht="15.75" customHeight="1">
      <c r="C771" s="3"/>
    </row>
    <row r="772" ht="15.75" customHeight="1">
      <c r="C772" s="3"/>
    </row>
    <row r="773" ht="15.75" customHeight="1">
      <c r="C773" s="3"/>
    </row>
    <row r="774" ht="15.75" customHeight="1">
      <c r="C774" s="3"/>
    </row>
    <row r="775" ht="15.75" customHeight="1">
      <c r="C775" s="3"/>
    </row>
    <row r="776" ht="15.75" customHeight="1">
      <c r="C776" s="3"/>
    </row>
    <row r="777" ht="15.75" customHeight="1">
      <c r="C777" s="3"/>
    </row>
    <row r="778" ht="15.75" customHeight="1">
      <c r="C778" s="3"/>
    </row>
    <row r="779" ht="15.75" customHeight="1">
      <c r="C779" s="3"/>
    </row>
    <row r="780" ht="15.75" customHeight="1">
      <c r="C780" s="3"/>
    </row>
    <row r="781" ht="15.75" customHeight="1">
      <c r="C781" s="3"/>
    </row>
    <row r="782" ht="15.75" customHeight="1">
      <c r="C782" s="3"/>
    </row>
    <row r="783" ht="15.75" customHeight="1">
      <c r="C783" s="3"/>
    </row>
    <row r="784" ht="15.75" customHeight="1">
      <c r="C784" s="3"/>
    </row>
    <row r="785" ht="15.75" customHeight="1">
      <c r="C785" s="3"/>
    </row>
    <row r="786" ht="15.75" customHeight="1">
      <c r="C786" s="3"/>
    </row>
    <row r="787" ht="15.75" customHeight="1">
      <c r="C787" s="3"/>
    </row>
    <row r="788" ht="15.75" customHeight="1">
      <c r="C788" s="3"/>
    </row>
    <row r="789" ht="15.75" customHeight="1">
      <c r="C789" s="3"/>
    </row>
    <row r="790" ht="15.75" customHeight="1">
      <c r="C790" s="3"/>
    </row>
    <row r="791" ht="15.75" customHeight="1">
      <c r="C791" s="3"/>
    </row>
    <row r="792" ht="15.75" customHeight="1">
      <c r="C792" s="3"/>
    </row>
    <row r="793" ht="15.75" customHeight="1">
      <c r="C793" s="3"/>
    </row>
    <row r="794" ht="15.75" customHeight="1">
      <c r="C794" s="3"/>
    </row>
    <row r="795" ht="15.75" customHeight="1">
      <c r="C795" s="3"/>
    </row>
    <row r="796" ht="15.75" customHeight="1">
      <c r="C796" s="3"/>
    </row>
    <row r="797" ht="15.75" customHeight="1">
      <c r="C797" s="3"/>
    </row>
    <row r="798" ht="15.75" customHeight="1">
      <c r="C798" s="3"/>
    </row>
    <row r="799" ht="15.75" customHeight="1">
      <c r="C799" s="3"/>
    </row>
    <row r="800" ht="15.75" customHeight="1">
      <c r="C800" s="3"/>
    </row>
    <row r="801" ht="15.75" customHeight="1">
      <c r="C801" s="3"/>
    </row>
    <row r="802" ht="15.75" customHeight="1">
      <c r="C802" s="3"/>
    </row>
    <row r="803" ht="15.75" customHeight="1">
      <c r="C803" s="3"/>
    </row>
    <row r="804" ht="15.75" customHeight="1">
      <c r="C804" s="3"/>
    </row>
    <row r="805" ht="15.75" customHeight="1">
      <c r="C805" s="3"/>
    </row>
    <row r="806" ht="15.75" customHeight="1">
      <c r="C806" s="3"/>
    </row>
    <row r="807" ht="15.75" customHeight="1">
      <c r="C807" s="3"/>
    </row>
    <row r="808" ht="15.75" customHeight="1">
      <c r="C808" s="3"/>
    </row>
    <row r="809" ht="15.75" customHeight="1">
      <c r="C809" s="3"/>
    </row>
    <row r="810" ht="15.75" customHeight="1">
      <c r="C810" s="3"/>
    </row>
    <row r="811" ht="15.75" customHeight="1">
      <c r="C811" s="3"/>
    </row>
    <row r="812" ht="15.75" customHeight="1">
      <c r="C812" s="3"/>
    </row>
    <row r="813" ht="15.75" customHeight="1">
      <c r="C813" s="3"/>
    </row>
    <row r="814" ht="15.75" customHeight="1">
      <c r="C814" s="3"/>
    </row>
    <row r="815" ht="15.75" customHeight="1">
      <c r="C815" s="3"/>
    </row>
    <row r="816" ht="15.75" customHeight="1">
      <c r="C816" s="3"/>
    </row>
    <row r="817" ht="15.75" customHeight="1">
      <c r="C817" s="3"/>
    </row>
    <row r="818" ht="15.75" customHeight="1">
      <c r="C818" s="3"/>
    </row>
    <row r="819" ht="15.75" customHeight="1">
      <c r="C819" s="3"/>
    </row>
    <row r="820" ht="15.75" customHeight="1">
      <c r="C820" s="3"/>
    </row>
    <row r="821" ht="15.75" customHeight="1">
      <c r="C821" s="3"/>
    </row>
    <row r="822" ht="15.75" customHeight="1">
      <c r="C822" s="3"/>
    </row>
    <row r="823" ht="15.75" customHeight="1">
      <c r="C823" s="3"/>
    </row>
    <row r="824" ht="15.75" customHeight="1">
      <c r="C824" s="3"/>
    </row>
    <row r="825" ht="15.75" customHeight="1">
      <c r="C825" s="3"/>
    </row>
    <row r="826" ht="15.75" customHeight="1">
      <c r="C826" s="3"/>
    </row>
    <row r="827" ht="15.75" customHeight="1">
      <c r="C827" s="3"/>
    </row>
    <row r="828" ht="15.75" customHeight="1">
      <c r="C828" s="3"/>
    </row>
    <row r="829" ht="15.75" customHeight="1">
      <c r="C829" s="3"/>
    </row>
    <row r="830" ht="15.75" customHeight="1">
      <c r="C830" s="3"/>
    </row>
    <row r="831" ht="15.75" customHeight="1">
      <c r="C831" s="3"/>
    </row>
    <row r="832" ht="15.75" customHeight="1">
      <c r="C832" s="3"/>
    </row>
    <row r="833" ht="15.75" customHeight="1">
      <c r="C833" s="3"/>
    </row>
    <row r="834" ht="15.75" customHeight="1">
      <c r="C834" s="3"/>
    </row>
    <row r="835" ht="15.75" customHeight="1">
      <c r="C835" s="3"/>
    </row>
    <row r="836" ht="15.75" customHeight="1">
      <c r="C836" s="3"/>
    </row>
    <row r="837" ht="15.75" customHeight="1">
      <c r="C837" s="3"/>
    </row>
    <row r="838" ht="15.75" customHeight="1">
      <c r="C838" s="3"/>
    </row>
    <row r="839" ht="15.75" customHeight="1">
      <c r="C839" s="3"/>
    </row>
    <row r="840" ht="15.75" customHeight="1">
      <c r="C840" s="3"/>
    </row>
    <row r="841" ht="15.75" customHeight="1">
      <c r="C841" s="3"/>
    </row>
    <row r="842" ht="15.75" customHeight="1">
      <c r="C842" s="3"/>
    </row>
    <row r="843" ht="15.75" customHeight="1">
      <c r="C843" s="3"/>
    </row>
    <row r="844" ht="15.75" customHeight="1">
      <c r="C844" s="3"/>
    </row>
    <row r="845" ht="15.75" customHeight="1">
      <c r="C845" s="3"/>
    </row>
    <row r="846" ht="15.75" customHeight="1">
      <c r="C846" s="3"/>
    </row>
    <row r="847" ht="15.75" customHeight="1">
      <c r="C847" s="3"/>
    </row>
    <row r="848" ht="15.75" customHeight="1">
      <c r="C848" s="3"/>
    </row>
    <row r="849" ht="15.75" customHeight="1">
      <c r="C849" s="3"/>
    </row>
    <row r="850" ht="15.75" customHeight="1">
      <c r="C850" s="3"/>
    </row>
    <row r="851" ht="15.75" customHeight="1">
      <c r="C851" s="3"/>
    </row>
    <row r="852" ht="15.75" customHeight="1">
      <c r="C852" s="3"/>
    </row>
    <row r="853" ht="15.75" customHeight="1">
      <c r="C853" s="3"/>
    </row>
    <row r="854" ht="15.75" customHeight="1">
      <c r="C854" s="3"/>
    </row>
    <row r="855" ht="15.75" customHeight="1">
      <c r="C855" s="3"/>
    </row>
    <row r="856" ht="15.75" customHeight="1">
      <c r="C856" s="3"/>
    </row>
    <row r="857" ht="15.75" customHeight="1">
      <c r="C857" s="3"/>
    </row>
    <row r="858" ht="15.75" customHeight="1">
      <c r="C858" s="3"/>
    </row>
    <row r="859" ht="15.75" customHeight="1">
      <c r="C859" s="3"/>
    </row>
    <row r="860" ht="15.75" customHeight="1">
      <c r="C860" s="3"/>
    </row>
    <row r="861" ht="15.75" customHeight="1">
      <c r="C861" s="3"/>
    </row>
    <row r="862" ht="15.75" customHeight="1">
      <c r="C862" s="3"/>
    </row>
    <row r="863" ht="15.75" customHeight="1">
      <c r="C863" s="3"/>
    </row>
    <row r="864" ht="15.75" customHeight="1">
      <c r="C864" s="3"/>
    </row>
    <row r="865" ht="15.75" customHeight="1">
      <c r="C865" s="3"/>
    </row>
    <row r="866" ht="15.75" customHeight="1">
      <c r="C866" s="3"/>
    </row>
    <row r="867" ht="15.75" customHeight="1">
      <c r="C867" s="3"/>
    </row>
    <row r="868" ht="15.75" customHeight="1">
      <c r="C868" s="3"/>
    </row>
    <row r="869" ht="15.75" customHeight="1">
      <c r="C869" s="3"/>
    </row>
    <row r="870" ht="15.75" customHeight="1">
      <c r="C870" s="3"/>
    </row>
    <row r="871" ht="15.75" customHeight="1">
      <c r="C871" s="3"/>
    </row>
    <row r="872" ht="15.75" customHeight="1">
      <c r="C872" s="3"/>
    </row>
    <row r="873" ht="15.75" customHeight="1">
      <c r="C873" s="3"/>
    </row>
    <row r="874" ht="15.75" customHeight="1">
      <c r="C874" s="3"/>
    </row>
    <row r="875" ht="15.75" customHeight="1">
      <c r="C875" s="3"/>
    </row>
    <row r="876" ht="15.75" customHeight="1">
      <c r="C876" s="3"/>
    </row>
    <row r="877" ht="15.75" customHeight="1">
      <c r="C877" s="3"/>
    </row>
    <row r="878" ht="15.75" customHeight="1">
      <c r="C878" s="3"/>
    </row>
    <row r="879" ht="15.75" customHeight="1">
      <c r="C879" s="3"/>
    </row>
    <row r="880" ht="15.75" customHeight="1">
      <c r="C880" s="3"/>
    </row>
    <row r="881" ht="15.75" customHeight="1">
      <c r="C881" s="3"/>
    </row>
    <row r="882" ht="15.75" customHeight="1">
      <c r="C882" s="3"/>
    </row>
    <row r="883" ht="15.75" customHeight="1">
      <c r="C883" s="3"/>
    </row>
    <row r="884" ht="15.75" customHeight="1">
      <c r="C884" s="3"/>
    </row>
    <row r="885" ht="15.75" customHeight="1">
      <c r="C885" s="3"/>
    </row>
    <row r="886" ht="15.75" customHeight="1">
      <c r="C886" s="3"/>
    </row>
    <row r="887" ht="15.75" customHeight="1">
      <c r="C887" s="3"/>
    </row>
    <row r="888" ht="15.75" customHeight="1">
      <c r="C888" s="3"/>
    </row>
    <row r="889" ht="15.75" customHeight="1">
      <c r="C889" s="3"/>
    </row>
    <row r="890" ht="15.75" customHeight="1">
      <c r="C890" s="3"/>
    </row>
    <row r="891" ht="15.75" customHeight="1">
      <c r="C891" s="3"/>
    </row>
    <row r="892" ht="15.75" customHeight="1">
      <c r="C892" s="3"/>
    </row>
    <row r="893" ht="15.75" customHeight="1">
      <c r="C893" s="3"/>
    </row>
    <row r="894" ht="15.75" customHeight="1">
      <c r="C894" s="3"/>
    </row>
    <row r="895" ht="15.75" customHeight="1">
      <c r="C895" s="3"/>
    </row>
    <row r="896" ht="15.75" customHeight="1">
      <c r="C896" s="3"/>
    </row>
    <row r="897" ht="15.75" customHeight="1">
      <c r="C897" s="3"/>
    </row>
    <row r="898" ht="15.75" customHeight="1">
      <c r="C898" s="3"/>
    </row>
    <row r="899" ht="15.75" customHeight="1">
      <c r="C899" s="3"/>
    </row>
    <row r="900" ht="15.75" customHeight="1">
      <c r="C900" s="3"/>
    </row>
    <row r="901" ht="15.75" customHeight="1">
      <c r="C901" s="3"/>
    </row>
    <row r="902" ht="15.75" customHeight="1">
      <c r="C902" s="3"/>
    </row>
    <row r="903" ht="15.75" customHeight="1">
      <c r="C903" s="3"/>
    </row>
    <row r="904" ht="15.75" customHeight="1">
      <c r="C904" s="3"/>
    </row>
    <row r="905" ht="15.75" customHeight="1">
      <c r="C905" s="3"/>
    </row>
    <row r="906" ht="15.75" customHeight="1">
      <c r="C906" s="3"/>
    </row>
    <row r="907" ht="15.75" customHeight="1">
      <c r="C907" s="3"/>
    </row>
    <row r="908" ht="15.75" customHeight="1">
      <c r="C908" s="3"/>
    </row>
    <row r="909" ht="15.75" customHeight="1">
      <c r="C909" s="3"/>
    </row>
    <row r="910" ht="15.75" customHeight="1">
      <c r="C910" s="3"/>
    </row>
    <row r="911" ht="15.75" customHeight="1">
      <c r="C911" s="3"/>
    </row>
    <row r="912" ht="15.75" customHeight="1">
      <c r="C912" s="3"/>
    </row>
    <row r="913" ht="15.75" customHeight="1">
      <c r="C913" s="3"/>
    </row>
    <row r="914" ht="15.75" customHeight="1">
      <c r="C914" s="3"/>
    </row>
    <row r="915" ht="15.75" customHeight="1">
      <c r="C915" s="3"/>
    </row>
    <row r="916" ht="15.75" customHeight="1">
      <c r="C916" s="3"/>
    </row>
    <row r="917" ht="15.75" customHeight="1">
      <c r="C917" s="3"/>
    </row>
    <row r="918" ht="15.75" customHeight="1">
      <c r="C918" s="3"/>
    </row>
    <row r="919" ht="15.75" customHeight="1">
      <c r="C919" s="3"/>
    </row>
    <row r="920" ht="15.75" customHeight="1">
      <c r="C920" s="3"/>
    </row>
    <row r="921" ht="15.75" customHeight="1">
      <c r="C921" s="3"/>
    </row>
    <row r="922" ht="15.75" customHeight="1">
      <c r="C922" s="3"/>
    </row>
    <row r="923" ht="15.75" customHeight="1">
      <c r="C923" s="3"/>
    </row>
    <row r="924" ht="15.75" customHeight="1">
      <c r="C924" s="3"/>
    </row>
    <row r="925" ht="15.75" customHeight="1">
      <c r="C925" s="3"/>
    </row>
    <row r="926" ht="15.75" customHeight="1">
      <c r="C926" s="3"/>
    </row>
    <row r="927" ht="15.75" customHeight="1">
      <c r="C927" s="3"/>
    </row>
    <row r="928" ht="15.75" customHeight="1">
      <c r="C928" s="3"/>
    </row>
    <row r="929" ht="15.75" customHeight="1">
      <c r="C929" s="3"/>
    </row>
    <row r="930" ht="15.75" customHeight="1">
      <c r="C930" s="3"/>
    </row>
    <row r="931" ht="15.75" customHeight="1">
      <c r="C931" s="3"/>
    </row>
    <row r="932" ht="15.75" customHeight="1">
      <c r="C932" s="3"/>
    </row>
    <row r="933" ht="15.75" customHeight="1">
      <c r="C933" s="3"/>
    </row>
    <row r="934" ht="15.75" customHeight="1">
      <c r="C934" s="3"/>
    </row>
    <row r="935" ht="15.75" customHeight="1">
      <c r="C935" s="3"/>
    </row>
    <row r="936" ht="15.75" customHeight="1">
      <c r="C936" s="3"/>
    </row>
    <row r="937" ht="15.75" customHeight="1">
      <c r="C937" s="3"/>
    </row>
    <row r="938" ht="15.75" customHeight="1">
      <c r="C938" s="3"/>
    </row>
    <row r="939" ht="15.75" customHeight="1">
      <c r="C939" s="3"/>
    </row>
    <row r="940" ht="15.75" customHeight="1">
      <c r="C940" s="3"/>
    </row>
    <row r="941" ht="15.75" customHeight="1">
      <c r="C941" s="3"/>
    </row>
    <row r="942" ht="15.75" customHeight="1">
      <c r="C942" s="3"/>
    </row>
    <row r="943" ht="15.75" customHeight="1">
      <c r="C943" s="3"/>
    </row>
    <row r="944" ht="15.75" customHeight="1">
      <c r="C944" s="3"/>
    </row>
    <row r="945" ht="15.75" customHeight="1">
      <c r="C945" s="3"/>
    </row>
    <row r="946" ht="15.75" customHeight="1">
      <c r="C946" s="3"/>
    </row>
    <row r="947" ht="15.75" customHeight="1">
      <c r="C947" s="3"/>
    </row>
    <row r="948" ht="15.75" customHeight="1">
      <c r="C948" s="3"/>
    </row>
    <row r="949" ht="15.75" customHeight="1">
      <c r="C949" s="3"/>
    </row>
    <row r="950" ht="15.75" customHeight="1">
      <c r="C950" s="3"/>
    </row>
    <row r="951" ht="15.75" customHeight="1">
      <c r="C951" s="3"/>
    </row>
    <row r="952" ht="15.75" customHeight="1">
      <c r="C952" s="3"/>
    </row>
    <row r="953" ht="15.75" customHeight="1">
      <c r="C953" s="3"/>
    </row>
    <row r="954" ht="15.75" customHeight="1">
      <c r="C954" s="3"/>
    </row>
    <row r="955" ht="15.75" customHeight="1">
      <c r="C955" s="3"/>
    </row>
    <row r="956" ht="15.75" customHeight="1">
      <c r="C956" s="3"/>
    </row>
    <row r="957" ht="15.75" customHeight="1">
      <c r="C957" s="3"/>
    </row>
    <row r="958" ht="15.75" customHeight="1">
      <c r="C958" s="3"/>
    </row>
    <row r="959" ht="15.75" customHeight="1">
      <c r="C959" s="3"/>
    </row>
    <row r="960" ht="15.75" customHeight="1">
      <c r="C960" s="3"/>
    </row>
    <row r="961" ht="15.75" customHeight="1">
      <c r="C961" s="3"/>
    </row>
    <row r="962" ht="15.75" customHeight="1">
      <c r="C962" s="3"/>
    </row>
    <row r="963" ht="15.75" customHeight="1">
      <c r="C963" s="3"/>
    </row>
    <row r="964" ht="15.75" customHeight="1">
      <c r="C964" s="3"/>
    </row>
    <row r="965" ht="15.75" customHeight="1">
      <c r="C965" s="3"/>
    </row>
    <row r="966" ht="15.75" customHeight="1">
      <c r="C966" s="3"/>
    </row>
    <row r="967" ht="15.75" customHeight="1">
      <c r="C967" s="3"/>
    </row>
    <row r="968" ht="15.75" customHeight="1">
      <c r="C968" s="3"/>
    </row>
    <row r="969" ht="15.75" customHeight="1">
      <c r="C969" s="3"/>
    </row>
    <row r="970" ht="15.75" customHeight="1">
      <c r="C970" s="3"/>
    </row>
    <row r="971" ht="15.75" customHeight="1">
      <c r="C971" s="3"/>
    </row>
    <row r="972" ht="15.75" customHeight="1">
      <c r="C972" s="3"/>
    </row>
    <row r="973" ht="15.75" customHeight="1">
      <c r="C973" s="3"/>
    </row>
    <row r="974" ht="15.75" customHeight="1">
      <c r="C974" s="3"/>
    </row>
    <row r="975" ht="15.75" customHeight="1">
      <c r="C975" s="3"/>
    </row>
    <row r="976" ht="15.75" customHeight="1">
      <c r="C976" s="3"/>
    </row>
    <row r="977" ht="15.75" customHeight="1">
      <c r="C977" s="3"/>
    </row>
    <row r="978" ht="15.75" customHeight="1">
      <c r="C978" s="3"/>
    </row>
    <row r="979" ht="15.75" customHeight="1">
      <c r="C979" s="3"/>
    </row>
    <row r="980" ht="15.75" customHeight="1">
      <c r="C980" s="3"/>
    </row>
    <row r="981" ht="15.75" customHeight="1">
      <c r="C981" s="3"/>
    </row>
    <row r="982" ht="15.75" customHeight="1">
      <c r="C982" s="3"/>
    </row>
    <row r="983" ht="15.75" customHeight="1">
      <c r="C983" s="3"/>
    </row>
    <row r="984" ht="15.75" customHeight="1">
      <c r="C984" s="3"/>
    </row>
    <row r="985" ht="15.75" customHeight="1">
      <c r="C985" s="3"/>
    </row>
    <row r="986" ht="15.75" customHeight="1">
      <c r="C986" s="3"/>
    </row>
    <row r="987" ht="15.75" customHeight="1">
      <c r="C987" s="3"/>
    </row>
    <row r="988" ht="15.75" customHeight="1">
      <c r="C988" s="3"/>
    </row>
    <row r="989" ht="15.75" customHeight="1">
      <c r="C989" s="3"/>
    </row>
    <row r="990" ht="15.75" customHeight="1">
      <c r="C990" s="3"/>
    </row>
    <row r="991" ht="15.75" customHeight="1">
      <c r="C991" s="3"/>
    </row>
    <row r="992" ht="15.75" customHeight="1">
      <c r="C992" s="3"/>
    </row>
    <row r="993" ht="15.75" customHeight="1">
      <c r="C993" s="3"/>
    </row>
    <row r="994" ht="15.75" customHeight="1">
      <c r="C994" s="3"/>
    </row>
    <row r="995" ht="15.75" customHeight="1">
      <c r="C995" s="3"/>
    </row>
    <row r="996" ht="15.75" customHeight="1">
      <c r="C996" s="3"/>
    </row>
    <row r="997" ht="15.75" customHeight="1">
      <c r="C997" s="3"/>
    </row>
    <row r="998" ht="15.75" customHeight="1">
      <c r="C998" s="3"/>
    </row>
    <row r="999" ht="15.75" customHeight="1">
      <c r="C999" s="3"/>
    </row>
    <row r="1000" ht="15.75" customHeight="1">
      <c r="C1000" s="3"/>
    </row>
  </sheetData>
  <hyperlinks>
    <hyperlink r:id="rId1" ref="I4"/>
    <hyperlink r:id="rId2" ref="J4"/>
    <hyperlink r:id="rId3" ref="I5"/>
    <hyperlink r:id="rId4" ref="J5"/>
    <hyperlink r:id="rId5" ref="I6"/>
    <hyperlink r:id="rId6" ref="J6"/>
    <hyperlink r:id="rId7" ref="I7"/>
    <hyperlink r:id="rId8" ref="J7"/>
    <hyperlink r:id="rId9" ref="I8"/>
    <hyperlink r:id="rId10" ref="J8"/>
    <hyperlink r:id="rId11" ref="I9"/>
    <hyperlink r:id="rId12" ref="J9"/>
    <hyperlink r:id="rId13" ref="I10"/>
    <hyperlink r:id="rId14" ref="J10"/>
    <hyperlink r:id="rId15" ref="I11"/>
    <hyperlink r:id="rId16" ref="J11"/>
    <hyperlink r:id="rId17" ref="I12"/>
    <hyperlink r:id="rId18" ref="J12"/>
    <hyperlink r:id="rId19" ref="I13"/>
    <hyperlink r:id="rId20" ref="J13"/>
    <hyperlink r:id="rId21" ref="I14"/>
    <hyperlink r:id="rId22" ref="J14"/>
    <hyperlink r:id="rId23" ref="I15"/>
    <hyperlink r:id="rId24" ref="J15"/>
    <hyperlink r:id="rId25" ref="I16"/>
    <hyperlink r:id="rId26" ref="J16"/>
    <hyperlink r:id="rId27" ref="I17"/>
    <hyperlink r:id="rId28" ref="J17"/>
    <hyperlink r:id="rId29" ref="I18"/>
    <hyperlink r:id="rId30" ref="J18"/>
    <hyperlink r:id="rId31" ref="I19"/>
    <hyperlink r:id="rId32" ref="J19"/>
    <hyperlink r:id="rId33" ref="I20"/>
    <hyperlink r:id="rId34" ref="J20"/>
    <hyperlink r:id="rId35" ref="I21"/>
    <hyperlink r:id="rId36" ref="J21"/>
    <hyperlink r:id="rId37" ref="I22"/>
    <hyperlink r:id="rId38" ref="J22"/>
    <hyperlink r:id="rId39" ref="I23"/>
    <hyperlink r:id="rId40" ref="J23"/>
    <hyperlink r:id="rId41" ref="I24"/>
    <hyperlink r:id="rId42" ref="J24"/>
    <hyperlink r:id="rId43" ref="I25"/>
    <hyperlink r:id="rId44" ref="J25"/>
    <hyperlink r:id="rId45" ref="I26"/>
    <hyperlink r:id="rId46" ref="J26"/>
    <hyperlink r:id="rId47" ref="I27"/>
    <hyperlink r:id="rId48" ref="J27"/>
    <hyperlink r:id="rId49" ref="I28"/>
    <hyperlink r:id="rId50" ref="J28"/>
    <hyperlink r:id="rId51" ref="I29"/>
    <hyperlink r:id="rId52" ref="J29"/>
    <hyperlink r:id="rId53" ref="I30"/>
    <hyperlink r:id="rId54" ref="J30"/>
    <hyperlink r:id="rId55" ref="I31"/>
    <hyperlink r:id="rId56" ref="J31"/>
    <hyperlink r:id="rId57" ref="I32"/>
    <hyperlink r:id="rId58" ref="J32"/>
    <hyperlink r:id="rId59" ref="I33"/>
    <hyperlink r:id="rId60" ref="J33"/>
    <hyperlink r:id="rId61" ref="I34"/>
    <hyperlink r:id="rId62" ref="J34"/>
    <hyperlink r:id="rId63" ref="I35"/>
    <hyperlink r:id="rId64" ref="J35"/>
    <hyperlink r:id="rId65" ref="I36"/>
    <hyperlink r:id="rId66" ref="J36"/>
    <hyperlink r:id="rId67" ref="I37"/>
    <hyperlink r:id="rId68" ref="J37"/>
    <hyperlink r:id="rId69" ref="I38"/>
    <hyperlink r:id="rId70" ref="J38"/>
  </hyperlinks>
  <printOptions/>
  <pageMargins bottom="1.0" footer="0.0" header="0.0" left="0.75" right="0.75" top="1.0"/>
  <pageSetup paperSize="9" orientation="portrait"/>
  <drawing r:id="rId7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4.43"/>
  </cols>
  <sheetData>
    <row r="1" ht="15.0" customHeight="1">
      <c r="A1" s="108" t="s">
        <v>1245</v>
      </c>
      <c r="B1" s="108"/>
      <c r="C1" s="108"/>
      <c r="D1" s="108"/>
      <c r="E1" s="108"/>
      <c r="F1" s="108"/>
    </row>
    <row r="2" ht="15.0" customHeight="1">
      <c r="A2" s="108" t="s">
        <v>1248</v>
      </c>
      <c r="B2" s="108"/>
      <c r="C2" s="108"/>
      <c r="D2" s="108"/>
      <c r="E2" s="108"/>
      <c r="F2" s="108"/>
    </row>
    <row r="3" ht="15.0" customHeight="1">
      <c r="A3" s="108"/>
      <c r="B3" s="108"/>
      <c r="C3" s="108"/>
      <c r="D3" s="108"/>
      <c r="E3" s="108"/>
      <c r="F3" s="108"/>
    </row>
    <row r="4" ht="15.0" customHeight="1">
      <c r="A4" s="108" t="s">
        <v>1249</v>
      </c>
      <c r="B4" s="108" t="s">
        <v>1251</v>
      </c>
      <c r="C4" s="108" t="s">
        <v>1252</v>
      </c>
      <c r="D4" s="108"/>
      <c r="E4" s="108"/>
      <c r="F4" s="108"/>
    </row>
    <row r="5" ht="15.0" customHeight="1">
      <c r="A5" s="108" t="s">
        <v>1253</v>
      </c>
      <c r="B5" s="108" t="s">
        <v>1254</v>
      </c>
      <c r="C5" s="48" t="s">
        <v>1255</v>
      </c>
      <c r="D5" s="108"/>
      <c r="E5" s="108"/>
      <c r="F5" s="108"/>
    </row>
    <row r="6" ht="15.0" customHeight="1">
      <c r="A6" s="108" t="s">
        <v>1260</v>
      </c>
      <c r="B6" s="108" t="s">
        <v>1261</v>
      </c>
      <c r="C6" s="48" t="s">
        <v>1262</v>
      </c>
      <c r="D6" s="108"/>
      <c r="E6" s="108"/>
      <c r="F6" s="108"/>
    </row>
    <row r="7" ht="15.0" customHeight="1">
      <c r="A7" s="108" t="s">
        <v>1264</v>
      </c>
      <c r="B7" s="108" t="s">
        <v>1266</v>
      </c>
      <c r="C7" s="48" t="s">
        <v>1268</v>
      </c>
      <c r="D7" s="108"/>
      <c r="E7" s="108"/>
      <c r="F7" s="108"/>
    </row>
    <row r="8" ht="15.0" customHeight="1">
      <c r="A8" s="108" t="s">
        <v>1271</v>
      </c>
      <c r="B8" s="108" t="s">
        <v>1272</v>
      </c>
      <c r="C8" s="48" t="s">
        <v>1273</v>
      </c>
      <c r="D8" s="108"/>
      <c r="E8" s="108"/>
      <c r="F8" s="108"/>
    </row>
    <row r="9" ht="15.0" customHeight="1">
      <c r="A9" s="108" t="s">
        <v>1276</v>
      </c>
      <c r="B9" s="108" t="s">
        <v>1277</v>
      </c>
      <c r="C9" s="48" t="s">
        <v>1278</v>
      </c>
      <c r="D9" s="108"/>
      <c r="E9" s="108"/>
      <c r="F9" s="108"/>
    </row>
    <row r="10" ht="15.0" customHeight="1">
      <c r="A10" s="108" t="s">
        <v>1283</v>
      </c>
      <c r="B10" s="108" t="s">
        <v>1284</v>
      </c>
      <c r="C10" s="48" t="s">
        <v>1286</v>
      </c>
      <c r="D10" s="108"/>
      <c r="E10" s="108"/>
      <c r="F10" s="108"/>
    </row>
    <row r="11" ht="15.0" customHeight="1">
      <c r="A11" s="108" t="s">
        <v>1288</v>
      </c>
      <c r="B11" s="108" t="s">
        <v>1289</v>
      </c>
      <c r="C11" s="48" t="s">
        <v>1291</v>
      </c>
      <c r="D11" s="108"/>
      <c r="E11" s="108"/>
      <c r="F11" s="108"/>
    </row>
    <row r="12" ht="15.0" customHeight="1">
      <c r="A12" s="108" t="s">
        <v>1295</v>
      </c>
      <c r="B12" s="108" t="s">
        <v>1297</v>
      </c>
      <c r="C12" s="48" t="s">
        <v>1298</v>
      </c>
      <c r="D12" s="108"/>
      <c r="E12" s="108"/>
      <c r="F12" s="108"/>
    </row>
    <row r="13" ht="15.0" customHeight="1">
      <c r="A13" s="108" t="s">
        <v>1300</v>
      </c>
      <c r="B13" s="108" t="s">
        <v>1301</v>
      </c>
      <c r="C13" s="48" t="s">
        <v>1302</v>
      </c>
      <c r="D13" s="108"/>
      <c r="E13" s="108"/>
      <c r="F13" s="108"/>
    </row>
    <row r="14" ht="15.0" customHeight="1">
      <c r="A14" s="108" t="s">
        <v>1307</v>
      </c>
      <c r="B14" s="108" t="s">
        <v>1308</v>
      </c>
      <c r="C14" s="48" t="s">
        <v>1309</v>
      </c>
      <c r="D14" s="108"/>
      <c r="E14" s="108"/>
      <c r="F14" s="108"/>
      <c r="G14" s="108"/>
    </row>
    <row r="15" ht="15.0" customHeight="1">
      <c r="A15" s="108"/>
      <c r="B15" s="108"/>
      <c r="C15" s="108"/>
      <c r="D15" s="108"/>
      <c r="E15" s="108"/>
      <c r="F15" s="108"/>
    </row>
    <row r="16" ht="15.0" customHeight="1">
      <c r="A16" s="108" t="s">
        <v>1311</v>
      </c>
      <c r="B16" s="108"/>
      <c r="C16" s="108"/>
      <c r="D16" s="108"/>
      <c r="E16" s="108"/>
      <c r="F16" s="108"/>
    </row>
    <row r="17" ht="15.0" customHeight="1">
      <c r="A17" s="108" t="s">
        <v>24</v>
      </c>
      <c r="B17" s="108" t="s">
        <v>1312</v>
      </c>
      <c r="C17" s="108" t="s">
        <v>1313</v>
      </c>
      <c r="D17" s="108" t="s">
        <v>1315</v>
      </c>
      <c r="E17" s="108" t="s">
        <v>1316</v>
      </c>
      <c r="F17" s="108" t="s">
        <v>1317</v>
      </c>
      <c r="G17" s="108" t="s">
        <v>1318</v>
      </c>
    </row>
    <row r="18" ht="15.0" customHeight="1">
      <c r="A18" s="108" t="s">
        <v>1320</v>
      </c>
      <c r="B18" s="108" t="s">
        <v>1321</v>
      </c>
      <c r="C18" s="108" t="s">
        <v>1322</v>
      </c>
      <c r="D18" s="108" t="s">
        <v>1323</v>
      </c>
      <c r="E18" s="108" t="s">
        <v>1324</v>
      </c>
      <c r="F18" s="108" t="s">
        <v>1325</v>
      </c>
      <c r="G18" s="108" t="s">
        <v>1326</v>
      </c>
    </row>
    <row r="19" ht="15.0" customHeight="1">
      <c r="A19" s="108" t="s">
        <v>1320</v>
      </c>
      <c r="B19" s="108" t="s">
        <v>1327</v>
      </c>
      <c r="C19" s="108" t="s">
        <v>1328</v>
      </c>
      <c r="D19" s="108" t="s">
        <v>1329</v>
      </c>
      <c r="E19" s="108" t="s">
        <v>1331</v>
      </c>
      <c r="F19" s="108"/>
      <c r="G19" s="108" t="s">
        <v>1332</v>
      </c>
    </row>
    <row r="20" ht="15.0" customHeight="1">
      <c r="A20" s="108" t="s">
        <v>1320</v>
      </c>
      <c r="B20" s="108" t="s">
        <v>1333</v>
      </c>
      <c r="C20" s="108" t="s">
        <v>1334</v>
      </c>
      <c r="D20" s="108" t="s">
        <v>1335</v>
      </c>
      <c r="E20" s="108"/>
      <c r="F20" s="108"/>
      <c r="G20" s="108" t="s">
        <v>1339</v>
      </c>
    </row>
    <row r="21" ht="15.0" customHeight="1">
      <c r="A21" s="108" t="s">
        <v>1320</v>
      </c>
      <c r="B21" s="108" t="s">
        <v>1340</v>
      </c>
      <c r="C21" s="108" t="s">
        <v>1341</v>
      </c>
      <c r="D21" s="108" t="s">
        <v>1342</v>
      </c>
      <c r="E21" s="108"/>
      <c r="F21" s="108"/>
      <c r="G21" s="108" t="s">
        <v>1343</v>
      </c>
    </row>
    <row r="22" ht="15.0" customHeight="1">
      <c r="A22" s="108" t="s">
        <v>1320</v>
      </c>
      <c r="B22" s="108" t="s">
        <v>1344</v>
      </c>
      <c r="C22" s="108" t="s">
        <v>1345</v>
      </c>
      <c r="D22" s="108" t="s">
        <v>1346</v>
      </c>
      <c r="E22" s="108" t="s">
        <v>1347</v>
      </c>
      <c r="F22" s="108"/>
      <c r="G22" s="108" t="s">
        <v>1348</v>
      </c>
    </row>
    <row r="23" ht="15.0" customHeight="1">
      <c r="A23" s="108" t="s">
        <v>1320</v>
      </c>
      <c r="B23" s="108" t="s">
        <v>1349</v>
      </c>
      <c r="C23" s="108" t="s">
        <v>1350</v>
      </c>
      <c r="D23" s="108" t="s">
        <v>1351</v>
      </c>
      <c r="E23" s="108" t="s">
        <v>1352</v>
      </c>
      <c r="F23" s="108"/>
      <c r="G23" s="108" t="s">
        <v>1353</v>
      </c>
    </row>
    <row r="24" ht="15.0" customHeight="1">
      <c r="A24" s="108" t="s">
        <v>1320</v>
      </c>
      <c r="B24" s="108" t="s">
        <v>1357</v>
      </c>
      <c r="C24" s="108" t="s">
        <v>1358</v>
      </c>
      <c r="D24" s="108" t="s">
        <v>1359</v>
      </c>
      <c r="E24" s="108"/>
      <c r="F24" s="108"/>
      <c r="G24" s="108" t="s">
        <v>1360</v>
      </c>
    </row>
    <row r="25" ht="15.0" customHeight="1">
      <c r="A25" s="108" t="s">
        <v>1320</v>
      </c>
      <c r="B25" s="108" t="s">
        <v>1361</v>
      </c>
      <c r="C25" s="108" t="s">
        <v>1362</v>
      </c>
      <c r="D25" s="108" t="s">
        <v>1364</v>
      </c>
      <c r="E25" s="108" t="s">
        <v>1365</v>
      </c>
      <c r="F25" s="108"/>
      <c r="G25" s="108" t="s">
        <v>1366</v>
      </c>
    </row>
    <row r="26" ht="15.0" customHeight="1">
      <c r="A26" s="108" t="s">
        <v>1320</v>
      </c>
      <c r="B26" s="108" t="s">
        <v>1367</v>
      </c>
      <c r="C26" s="108" t="s">
        <v>1368</v>
      </c>
      <c r="D26" s="108" t="s">
        <v>1369</v>
      </c>
      <c r="E26" s="108" t="s">
        <v>1370</v>
      </c>
      <c r="F26" s="108"/>
      <c r="G26" s="108" t="s">
        <v>1371</v>
      </c>
    </row>
    <row r="27" ht="15.0" customHeight="1">
      <c r="A27" s="108" t="s">
        <v>1372</v>
      </c>
      <c r="B27" s="108" t="s">
        <v>1373</v>
      </c>
      <c r="C27" s="108" t="s">
        <v>1374</v>
      </c>
      <c r="D27" s="108" t="s">
        <v>1375</v>
      </c>
      <c r="E27" s="108" t="s">
        <v>1376</v>
      </c>
      <c r="F27" s="108"/>
      <c r="G27" s="108" t="s">
        <v>1377</v>
      </c>
    </row>
    <row r="28" ht="15.0" customHeight="1">
      <c r="A28" s="108" t="s">
        <v>1372</v>
      </c>
      <c r="B28" s="108" t="s">
        <v>1379</v>
      </c>
      <c r="C28" s="108" t="s">
        <v>1381</v>
      </c>
      <c r="D28" s="108" t="s">
        <v>1382</v>
      </c>
      <c r="E28" s="108" t="s">
        <v>1383</v>
      </c>
      <c r="F28" s="108"/>
      <c r="G28" s="108" t="s">
        <v>1384</v>
      </c>
    </row>
    <row r="29" ht="15.0" customHeight="1">
      <c r="A29" s="108" t="s">
        <v>1372</v>
      </c>
      <c r="B29" s="108" t="s">
        <v>1386</v>
      </c>
      <c r="C29" s="108" t="s">
        <v>1387</v>
      </c>
      <c r="D29" s="108" t="s">
        <v>1388</v>
      </c>
      <c r="E29" s="108" t="s">
        <v>1389</v>
      </c>
      <c r="F29" s="108" t="s">
        <v>1390</v>
      </c>
      <c r="G29" s="108" t="s">
        <v>1391</v>
      </c>
    </row>
    <row r="30" ht="15.0" customHeight="1">
      <c r="A30" s="108" t="s">
        <v>1372</v>
      </c>
      <c r="B30" s="108" t="s">
        <v>1392</v>
      </c>
      <c r="C30" s="108" t="s">
        <v>1393</v>
      </c>
      <c r="D30" s="108"/>
      <c r="E30" s="108"/>
      <c r="F30" s="108" t="s">
        <v>1394</v>
      </c>
      <c r="G30" s="108" t="s">
        <v>1395</v>
      </c>
    </row>
    <row r="31" ht="15.0" customHeight="1">
      <c r="A31" s="108" t="s">
        <v>1372</v>
      </c>
      <c r="B31" s="108" t="s">
        <v>1396</v>
      </c>
      <c r="C31" s="108" t="s">
        <v>1397</v>
      </c>
      <c r="D31" s="108"/>
      <c r="E31" s="108" t="s">
        <v>1399</v>
      </c>
      <c r="F31" s="108"/>
      <c r="G31" s="108" t="s">
        <v>1400</v>
      </c>
    </row>
    <row r="32" ht="15.0" customHeight="1">
      <c r="A32" s="108" t="s">
        <v>1372</v>
      </c>
      <c r="B32" s="108" t="s">
        <v>1401</v>
      </c>
      <c r="C32" s="108" t="s">
        <v>1402</v>
      </c>
      <c r="D32" s="108"/>
      <c r="E32" s="108" t="s">
        <v>1403</v>
      </c>
      <c r="F32" s="108" t="s">
        <v>1404</v>
      </c>
      <c r="G32" s="108" t="s">
        <v>1405</v>
      </c>
    </row>
    <row r="33" ht="15.0" customHeight="1">
      <c r="A33" s="108" t="s">
        <v>1372</v>
      </c>
      <c r="B33" s="108" t="s">
        <v>1406</v>
      </c>
      <c r="C33" s="108" t="s">
        <v>1407</v>
      </c>
      <c r="D33" s="108"/>
      <c r="E33" s="108" t="s">
        <v>1408</v>
      </c>
      <c r="F33" s="108" t="s">
        <v>1409</v>
      </c>
      <c r="G33" s="108" t="s">
        <v>1412</v>
      </c>
    </row>
    <row r="34" ht="15.0" customHeight="1">
      <c r="A34" s="108" t="s">
        <v>1372</v>
      </c>
      <c r="B34" s="108" t="s">
        <v>1414</v>
      </c>
      <c r="C34" s="108" t="s">
        <v>1415</v>
      </c>
      <c r="D34" s="108"/>
      <c r="E34" s="108" t="s">
        <v>1416</v>
      </c>
      <c r="F34" s="108" t="s">
        <v>1417</v>
      </c>
      <c r="G34" s="108" t="s">
        <v>1418</v>
      </c>
    </row>
    <row r="35" ht="15.0" customHeight="1">
      <c r="A35" s="108" t="s">
        <v>1372</v>
      </c>
      <c r="B35" s="108" t="s">
        <v>1419</v>
      </c>
      <c r="C35" s="108" t="s">
        <v>1420</v>
      </c>
      <c r="D35" s="108" t="s">
        <v>1421</v>
      </c>
      <c r="E35" s="108" t="s">
        <v>1422</v>
      </c>
      <c r="F35" s="108"/>
      <c r="G35" s="108" t="s">
        <v>1423</v>
      </c>
    </row>
    <row r="36" ht="15.0" customHeight="1">
      <c r="A36" s="108" t="s">
        <v>1425</v>
      </c>
      <c r="B36" s="108" t="s">
        <v>1428</v>
      </c>
      <c r="C36" s="108" t="s">
        <v>1429</v>
      </c>
      <c r="D36" s="108" t="s">
        <v>1430</v>
      </c>
      <c r="E36" s="108" t="s">
        <v>1431</v>
      </c>
      <c r="F36" s="108" t="s">
        <v>1432</v>
      </c>
      <c r="G36" s="108" t="s">
        <v>1433</v>
      </c>
    </row>
    <row r="37" ht="15.0" customHeight="1">
      <c r="A37" s="108" t="s">
        <v>1425</v>
      </c>
      <c r="B37" s="108" t="s">
        <v>1434</v>
      </c>
      <c r="C37" s="108" t="s">
        <v>1435</v>
      </c>
      <c r="D37" s="108" t="s">
        <v>1436</v>
      </c>
      <c r="E37" s="108" t="s">
        <v>1437</v>
      </c>
      <c r="F37" s="108" t="s">
        <v>1438</v>
      </c>
      <c r="G37" s="108" t="s">
        <v>1439</v>
      </c>
    </row>
    <row r="38" ht="15.0" customHeight="1">
      <c r="A38" s="108" t="s">
        <v>1425</v>
      </c>
      <c r="B38" s="108" t="s">
        <v>1440</v>
      </c>
      <c r="C38" s="108" t="s">
        <v>1441</v>
      </c>
      <c r="D38" s="108" t="s">
        <v>1442</v>
      </c>
      <c r="E38" s="108" t="s">
        <v>1443</v>
      </c>
      <c r="F38" s="108" t="s">
        <v>1444</v>
      </c>
      <c r="G38" s="108" t="s">
        <v>1445</v>
      </c>
    </row>
    <row r="39" ht="15.0" customHeight="1">
      <c r="A39" s="108" t="s">
        <v>1425</v>
      </c>
      <c r="B39" s="108" t="s">
        <v>1447</v>
      </c>
      <c r="C39" s="108" t="s">
        <v>1448</v>
      </c>
      <c r="D39" s="108" t="s">
        <v>1449</v>
      </c>
      <c r="E39" s="108" t="s">
        <v>1450</v>
      </c>
      <c r="F39" s="108" t="s">
        <v>1451</v>
      </c>
      <c r="G39" s="108" t="s">
        <v>1452</v>
      </c>
    </row>
    <row r="40" ht="15.0" customHeight="1">
      <c r="A40" s="108" t="s">
        <v>1425</v>
      </c>
      <c r="B40" s="108" t="s">
        <v>1453</v>
      </c>
      <c r="C40" s="108" t="s">
        <v>1455</v>
      </c>
      <c r="D40" s="108" t="s">
        <v>1456</v>
      </c>
      <c r="E40" s="108" t="s">
        <v>1457</v>
      </c>
      <c r="F40" s="108"/>
      <c r="G40" s="108" t="s">
        <v>1458</v>
      </c>
    </row>
    <row r="41" ht="15.0" customHeight="1">
      <c r="A41" s="108" t="s">
        <v>1425</v>
      </c>
      <c r="B41" s="108" t="s">
        <v>1459</v>
      </c>
      <c r="C41" s="108" t="s">
        <v>1461</v>
      </c>
      <c r="D41" s="108" t="s">
        <v>1462</v>
      </c>
      <c r="E41" s="108" t="s">
        <v>1463</v>
      </c>
      <c r="F41" s="108" t="s">
        <v>1464</v>
      </c>
      <c r="G41" s="108" t="s">
        <v>1465</v>
      </c>
    </row>
    <row r="42" ht="15.0" customHeight="1">
      <c r="A42" s="108" t="s">
        <v>1425</v>
      </c>
      <c r="B42" s="108" t="s">
        <v>1466</v>
      </c>
      <c r="C42" s="108" t="s">
        <v>1467</v>
      </c>
      <c r="D42" s="108" t="s">
        <v>1468</v>
      </c>
      <c r="E42" s="108" t="s">
        <v>1469</v>
      </c>
      <c r="F42" s="108"/>
      <c r="G42" s="108" t="s">
        <v>1471</v>
      </c>
    </row>
    <row r="43" ht="15.0" customHeight="1">
      <c r="A43" s="108" t="s">
        <v>1425</v>
      </c>
      <c r="B43" s="108" t="s">
        <v>1472</v>
      </c>
      <c r="C43" s="108" t="s">
        <v>1473</v>
      </c>
      <c r="D43" s="108" t="s">
        <v>1474</v>
      </c>
      <c r="E43" s="108" t="s">
        <v>1475</v>
      </c>
      <c r="F43" s="108"/>
      <c r="G43" s="108" t="s">
        <v>1476</v>
      </c>
    </row>
    <row r="44" ht="15.0" customHeight="1">
      <c r="A44" s="108" t="s">
        <v>1425</v>
      </c>
      <c r="B44" s="108" t="s">
        <v>1478</v>
      </c>
      <c r="C44" s="108" t="s">
        <v>1480</v>
      </c>
      <c r="D44" s="108" t="s">
        <v>1481</v>
      </c>
      <c r="E44" s="108" t="s">
        <v>1482</v>
      </c>
      <c r="F44" s="108"/>
      <c r="G44" s="108" t="s">
        <v>1483</v>
      </c>
    </row>
    <row r="45" ht="15.0" customHeight="1">
      <c r="A45" s="108" t="s">
        <v>1484</v>
      </c>
      <c r="B45" s="108" t="s">
        <v>1485</v>
      </c>
      <c r="C45" s="108" t="s">
        <v>1486</v>
      </c>
      <c r="D45" s="108" t="s">
        <v>1487</v>
      </c>
      <c r="E45" s="108" t="s">
        <v>1488</v>
      </c>
      <c r="F45" s="108"/>
      <c r="G45" s="108" t="s">
        <v>1489</v>
      </c>
    </row>
    <row r="46" ht="15.0" customHeight="1">
      <c r="A46" s="108" t="s">
        <v>1484</v>
      </c>
      <c r="B46" s="108" t="s">
        <v>1490</v>
      </c>
      <c r="C46" s="108" t="s">
        <v>1491</v>
      </c>
      <c r="D46" s="108" t="s">
        <v>1492</v>
      </c>
      <c r="E46" s="108" t="s">
        <v>1493</v>
      </c>
      <c r="F46" s="108"/>
      <c r="G46" s="108" t="s">
        <v>1494</v>
      </c>
    </row>
    <row r="47" ht="15.0" customHeight="1">
      <c r="A47" s="108" t="s">
        <v>1484</v>
      </c>
      <c r="B47" s="108" t="s">
        <v>1495</v>
      </c>
      <c r="C47" s="108" t="s">
        <v>1496</v>
      </c>
      <c r="D47" s="108" t="s">
        <v>1497</v>
      </c>
      <c r="E47" s="108" t="s">
        <v>1499</v>
      </c>
      <c r="F47" s="108" t="s">
        <v>1501</v>
      </c>
      <c r="G47" s="108" t="s">
        <v>1502</v>
      </c>
    </row>
    <row r="48" ht="15.0" customHeight="1">
      <c r="A48" s="108" t="s">
        <v>1484</v>
      </c>
      <c r="B48" s="108" t="s">
        <v>1504</v>
      </c>
      <c r="C48" s="108" t="s">
        <v>1505</v>
      </c>
      <c r="D48" s="108" t="s">
        <v>1506</v>
      </c>
      <c r="E48" s="108" t="s">
        <v>1507</v>
      </c>
      <c r="F48" s="108" t="s">
        <v>1508</v>
      </c>
      <c r="G48" s="108" t="s">
        <v>1509</v>
      </c>
    </row>
    <row r="49" ht="15.0" customHeight="1">
      <c r="A49" s="108" t="s">
        <v>1484</v>
      </c>
      <c r="B49" s="108" t="s">
        <v>1510</v>
      </c>
      <c r="C49" s="108" t="s">
        <v>1511</v>
      </c>
      <c r="D49" s="108" t="s">
        <v>1512</v>
      </c>
      <c r="E49" s="108" t="s">
        <v>1513</v>
      </c>
      <c r="F49" s="108"/>
      <c r="G49" s="108" t="s">
        <v>1515</v>
      </c>
    </row>
    <row r="50" ht="15.0" customHeight="1">
      <c r="A50" s="108" t="s">
        <v>1484</v>
      </c>
      <c r="B50" s="108" t="s">
        <v>1516</v>
      </c>
      <c r="C50" s="108" t="s">
        <v>1517</v>
      </c>
      <c r="D50" s="108" t="s">
        <v>1518</v>
      </c>
      <c r="E50" s="108" t="s">
        <v>1519</v>
      </c>
      <c r="F50" s="108"/>
      <c r="G50" s="108" t="s">
        <v>1520</v>
      </c>
    </row>
    <row r="51" ht="15.0" customHeight="1">
      <c r="A51" s="108" t="s">
        <v>1484</v>
      </c>
      <c r="B51" s="108" t="s">
        <v>1521</v>
      </c>
      <c r="C51" s="108" t="s">
        <v>1522</v>
      </c>
      <c r="D51" s="108" t="s">
        <v>1523</v>
      </c>
      <c r="E51" s="108" t="s">
        <v>1524</v>
      </c>
      <c r="F51" s="108"/>
      <c r="G51" s="108" t="s">
        <v>1525</v>
      </c>
    </row>
    <row r="52" ht="15.0" customHeight="1">
      <c r="A52" s="108" t="s">
        <v>1484</v>
      </c>
      <c r="B52" s="108" t="s">
        <v>1526</v>
      </c>
      <c r="C52" s="108" t="s">
        <v>1527</v>
      </c>
      <c r="D52" s="108" t="s">
        <v>1529</v>
      </c>
      <c r="E52" s="108" t="s">
        <v>1530</v>
      </c>
      <c r="F52" s="108" t="s">
        <v>1532</v>
      </c>
      <c r="G52" s="108" t="s">
        <v>1533</v>
      </c>
    </row>
    <row r="53" ht="15.0" customHeight="1">
      <c r="A53" s="108" t="s">
        <v>1484</v>
      </c>
      <c r="B53" s="108" t="s">
        <v>1534</v>
      </c>
      <c r="C53" s="108" t="s">
        <v>1535</v>
      </c>
      <c r="D53" s="108" t="s">
        <v>1537</v>
      </c>
      <c r="E53" s="108"/>
      <c r="F53" s="108" t="s">
        <v>1539</v>
      </c>
      <c r="G53" s="108" t="s">
        <v>1540</v>
      </c>
    </row>
    <row r="54" ht="15.0" customHeight="1">
      <c r="G54" s="108" t="s">
        <v>1541</v>
      </c>
    </row>
    <row r="55" ht="15.0" customHeight="1">
      <c r="A55" s="108" t="s">
        <v>1542</v>
      </c>
    </row>
    <row r="56" ht="15.0" customHeight="1">
      <c r="A56" s="108" t="s">
        <v>1544</v>
      </c>
      <c r="B56" s="108" t="s">
        <v>1251</v>
      </c>
      <c r="C56" s="108" t="s">
        <v>1252</v>
      </c>
    </row>
    <row r="57" ht="15.0" customHeight="1">
      <c r="A57" s="108" t="s">
        <v>1545</v>
      </c>
      <c r="B57" s="108" t="s">
        <v>1547</v>
      </c>
      <c r="C57" s="48" t="s">
        <v>1549</v>
      </c>
    </row>
    <row r="58" ht="15.0" customHeight="1">
      <c r="A58" s="108" t="s">
        <v>1553</v>
      </c>
      <c r="B58" s="108" t="s">
        <v>1554</v>
      </c>
      <c r="C58" s="48" t="s">
        <v>1555</v>
      </c>
    </row>
    <row r="59" ht="15.0" customHeight="1">
      <c r="A59" s="108" t="s">
        <v>1560</v>
      </c>
      <c r="B59" s="108" t="s">
        <v>1562</v>
      </c>
      <c r="C59" s="48" t="s">
        <v>1563</v>
      </c>
    </row>
    <row r="60" ht="15.0" customHeight="1">
      <c r="A60" s="108" t="s">
        <v>1565</v>
      </c>
      <c r="B60" s="108" t="s">
        <v>1566</v>
      </c>
      <c r="C60" s="48" t="s">
        <v>1568</v>
      </c>
    </row>
    <row r="61" ht="15.0" customHeight="1">
      <c r="A61" s="108" t="s">
        <v>1573</v>
      </c>
      <c r="B61" s="108" t="s">
        <v>1574</v>
      </c>
      <c r="C61" s="48" t="s">
        <v>1575</v>
      </c>
    </row>
    <row r="62" ht="15.75" customHeight="1"/>
    <row r="63" ht="15.0" customHeight="1">
      <c r="A63" s="108" t="s">
        <v>1578</v>
      </c>
    </row>
    <row r="64" ht="15.0" customHeight="1">
      <c r="A64" s="108" t="s">
        <v>21</v>
      </c>
      <c r="B64" s="108" t="s">
        <v>953</v>
      </c>
      <c r="C64" s="108" t="s">
        <v>968</v>
      </c>
      <c r="D64" s="108" t="s">
        <v>1580</v>
      </c>
      <c r="E64" s="108" t="s">
        <v>1581</v>
      </c>
      <c r="F64" s="108" t="s">
        <v>1318</v>
      </c>
    </row>
    <row r="65" ht="15.0" customHeight="1">
      <c r="A65" s="108" t="s">
        <v>1582</v>
      </c>
      <c r="B65" s="108" t="s">
        <v>1583</v>
      </c>
      <c r="C65" s="108" t="s">
        <v>1585</v>
      </c>
      <c r="D65" s="108" t="s">
        <v>1588</v>
      </c>
      <c r="F65" s="108" t="s">
        <v>1590</v>
      </c>
    </row>
    <row r="66" ht="15.0" customHeight="1">
      <c r="A66" s="108" t="s">
        <v>1591</v>
      </c>
      <c r="B66" s="108" t="s">
        <v>1592</v>
      </c>
      <c r="C66" s="108" t="s">
        <v>1593</v>
      </c>
      <c r="D66" s="108" t="s">
        <v>1588</v>
      </c>
      <c r="F66" s="108" t="s">
        <v>1594</v>
      </c>
    </row>
    <row r="67" ht="15.0" customHeight="1">
      <c r="A67" s="108" t="s">
        <v>1595</v>
      </c>
      <c r="B67" s="108" t="s">
        <v>1596</v>
      </c>
      <c r="C67" s="108" t="s">
        <v>1597</v>
      </c>
      <c r="D67" s="108" t="s">
        <v>1599</v>
      </c>
      <c r="E67" s="108" t="s">
        <v>1600</v>
      </c>
      <c r="F67" s="108" t="s">
        <v>1601</v>
      </c>
    </row>
    <row r="68" ht="15.0" customHeight="1">
      <c r="A68" s="108" t="s">
        <v>1602</v>
      </c>
      <c r="B68" s="108" t="s">
        <v>1603</v>
      </c>
      <c r="C68" s="108" t="s">
        <v>1604</v>
      </c>
      <c r="D68" s="108" t="s">
        <v>1599</v>
      </c>
      <c r="E68" s="108" t="s">
        <v>1605</v>
      </c>
      <c r="F68" s="108" t="s">
        <v>1606</v>
      </c>
    </row>
    <row r="69" ht="15.0" customHeight="1">
      <c r="A69" s="108" t="s">
        <v>1607</v>
      </c>
      <c r="B69" s="108" t="s">
        <v>1608</v>
      </c>
      <c r="C69" s="108" t="s">
        <v>1610</v>
      </c>
      <c r="D69" s="108" t="s">
        <v>1611</v>
      </c>
      <c r="F69" s="108" t="s">
        <v>1612</v>
      </c>
    </row>
    <row r="70" ht="15.0" customHeight="1">
      <c r="A70" s="108" t="s">
        <v>1613</v>
      </c>
      <c r="B70" s="108" t="s">
        <v>1614</v>
      </c>
      <c r="C70" s="108" t="s">
        <v>1615</v>
      </c>
      <c r="D70" s="108" t="s">
        <v>1599</v>
      </c>
      <c r="E70" s="108" t="s">
        <v>1616</v>
      </c>
      <c r="F70" s="108" t="s">
        <v>1618</v>
      </c>
    </row>
    <row r="71" ht="15.0" customHeight="1">
      <c r="A71" s="108" t="s">
        <v>1619</v>
      </c>
      <c r="B71" s="108" t="s">
        <v>1620</v>
      </c>
      <c r="C71" s="108" t="s">
        <v>1621</v>
      </c>
      <c r="D71" s="108" t="s">
        <v>1599</v>
      </c>
      <c r="E71" s="108" t="s">
        <v>1622</v>
      </c>
      <c r="F71" s="108" t="s">
        <v>1623</v>
      </c>
    </row>
    <row r="72" ht="15.0" customHeight="1">
      <c r="A72" s="108" t="s">
        <v>1624</v>
      </c>
      <c r="B72" s="108" t="s">
        <v>1625</v>
      </c>
      <c r="C72" s="108" t="s">
        <v>1626</v>
      </c>
      <c r="D72" s="108" t="s">
        <v>1599</v>
      </c>
      <c r="E72" s="108" t="s">
        <v>1627</v>
      </c>
      <c r="F72" s="108" t="s">
        <v>1628</v>
      </c>
    </row>
    <row r="73" ht="15.0" customHeight="1">
      <c r="A73" s="108" t="s">
        <v>1629</v>
      </c>
      <c r="B73" s="108" t="s">
        <v>1630</v>
      </c>
      <c r="C73" s="108" t="s">
        <v>1631</v>
      </c>
      <c r="D73" s="108" t="s">
        <v>1588</v>
      </c>
      <c r="F73" s="108" t="s">
        <v>1634</v>
      </c>
    </row>
    <row r="74" ht="15.0" customHeight="1">
      <c r="A74" s="108" t="s">
        <v>1635</v>
      </c>
      <c r="B74" s="108" t="s">
        <v>1636</v>
      </c>
      <c r="C74" s="108" t="s">
        <v>1637</v>
      </c>
      <c r="D74" s="108" t="s">
        <v>1638</v>
      </c>
      <c r="F74" s="108" t="s">
        <v>1639</v>
      </c>
    </row>
    <row r="75" ht="15.0" customHeight="1">
      <c r="A75" s="108" t="s">
        <v>1640</v>
      </c>
      <c r="B75" s="108" t="s">
        <v>1641</v>
      </c>
      <c r="C75" s="108" t="s">
        <v>1177</v>
      </c>
      <c r="D75" s="108" t="s">
        <v>1599</v>
      </c>
      <c r="E75" s="108" t="s">
        <v>1642</v>
      </c>
      <c r="F75" s="108" t="s">
        <v>1644</v>
      </c>
    </row>
    <row r="76" ht="15.0" customHeight="1">
      <c r="A76" s="108" t="s">
        <v>1645</v>
      </c>
      <c r="B76" s="108" t="s">
        <v>1646</v>
      </c>
      <c r="C76" s="108" t="s">
        <v>1185</v>
      </c>
      <c r="D76" s="108" t="s">
        <v>1599</v>
      </c>
      <c r="E76" s="108" t="s">
        <v>1647</v>
      </c>
      <c r="F76" s="108" t="s">
        <v>1648</v>
      </c>
    </row>
    <row r="77" ht="15.0" customHeight="1">
      <c r="A77" s="108" t="s">
        <v>1649</v>
      </c>
      <c r="B77" s="108" t="s">
        <v>1650</v>
      </c>
      <c r="C77" s="108" t="s">
        <v>1651</v>
      </c>
      <c r="D77" s="108" t="s">
        <v>1588</v>
      </c>
      <c r="F77" s="108" t="s">
        <v>1653</v>
      </c>
    </row>
    <row r="78" ht="15.0" customHeight="1">
      <c r="A78" s="108" t="s">
        <v>1654</v>
      </c>
      <c r="B78" s="108" t="s">
        <v>1655</v>
      </c>
      <c r="C78" s="108" t="s">
        <v>1656</v>
      </c>
      <c r="D78" s="108" t="s">
        <v>1599</v>
      </c>
      <c r="F78" s="108" t="s">
        <v>1657</v>
      </c>
    </row>
    <row r="79" ht="15.0" customHeight="1">
      <c r="A79" s="108" t="s">
        <v>1658</v>
      </c>
      <c r="B79" s="108" t="s">
        <v>1659</v>
      </c>
      <c r="C79" s="108" t="s">
        <v>1660</v>
      </c>
      <c r="D79" s="108" t="s">
        <v>1661</v>
      </c>
      <c r="F79" s="108" t="s">
        <v>1662</v>
      </c>
    </row>
    <row r="80" ht="15.0" customHeight="1">
      <c r="A80" s="108" t="s">
        <v>1663</v>
      </c>
      <c r="B80" s="108" t="s">
        <v>1664</v>
      </c>
      <c r="C80" s="108" t="s">
        <v>1665</v>
      </c>
      <c r="D80" s="108" t="s">
        <v>1599</v>
      </c>
      <c r="E80" s="108" t="s">
        <v>1667</v>
      </c>
      <c r="F80" s="108" t="s">
        <v>1668</v>
      </c>
    </row>
    <row r="81" ht="15.0" customHeight="1">
      <c r="A81" s="108" t="s">
        <v>1669</v>
      </c>
      <c r="B81" s="108" t="s">
        <v>1670</v>
      </c>
      <c r="C81" s="108" t="s">
        <v>1671</v>
      </c>
      <c r="D81" s="108" t="s">
        <v>1661</v>
      </c>
      <c r="E81" s="108" t="s">
        <v>1667</v>
      </c>
      <c r="F81" s="108" t="s">
        <v>1672</v>
      </c>
    </row>
    <row r="82" ht="15.0" customHeight="1">
      <c r="A82" s="108" t="s">
        <v>1673</v>
      </c>
      <c r="B82" s="108" t="s">
        <v>1675</v>
      </c>
      <c r="C82" s="108" t="s">
        <v>1232</v>
      </c>
      <c r="D82" s="108" t="s">
        <v>1599</v>
      </c>
      <c r="E82" s="108" t="s">
        <v>1676</v>
      </c>
      <c r="F82" s="108" t="s">
        <v>1677</v>
      </c>
    </row>
    <row r="83" ht="15.0" customHeight="1">
      <c r="A83" s="108" t="s">
        <v>1678</v>
      </c>
      <c r="B83" s="108" t="s">
        <v>1679</v>
      </c>
      <c r="C83" s="108" t="s">
        <v>1238</v>
      </c>
      <c r="D83" s="108" t="s">
        <v>1599</v>
      </c>
      <c r="E83" s="108" t="s">
        <v>1680</v>
      </c>
      <c r="F83" s="108" t="s">
        <v>1681</v>
      </c>
    </row>
    <row r="84" ht="15.0" customHeight="1">
      <c r="A84" s="108" t="s">
        <v>1682</v>
      </c>
      <c r="B84" s="108" t="s">
        <v>1683</v>
      </c>
      <c r="C84" s="108" t="s">
        <v>1244</v>
      </c>
      <c r="D84" s="108" t="s">
        <v>1599</v>
      </c>
      <c r="E84" s="108" t="s">
        <v>1684</v>
      </c>
      <c r="F84" s="108" t="s">
        <v>1685</v>
      </c>
    </row>
    <row r="85" ht="15.0" customHeight="1">
      <c r="A85" s="108" t="s">
        <v>1686</v>
      </c>
      <c r="B85" s="108" t="s">
        <v>1687</v>
      </c>
      <c r="C85" s="108" t="s">
        <v>1688</v>
      </c>
      <c r="D85" s="108" t="s">
        <v>1588</v>
      </c>
      <c r="F85" s="108" t="s">
        <v>1689</v>
      </c>
    </row>
    <row r="86" ht="15.0" customHeight="1">
      <c r="A86" s="108" t="s">
        <v>1690</v>
      </c>
      <c r="B86" s="108" t="s">
        <v>1691</v>
      </c>
      <c r="C86" s="108" t="s">
        <v>1692</v>
      </c>
      <c r="D86" s="108" t="s">
        <v>1638</v>
      </c>
      <c r="F86" s="108" t="s">
        <v>1693</v>
      </c>
    </row>
    <row r="87" ht="15.0" customHeight="1">
      <c r="A87" s="108" t="s">
        <v>1694</v>
      </c>
      <c r="B87" s="108" t="s">
        <v>1695</v>
      </c>
      <c r="C87" s="108" t="s">
        <v>1696</v>
      </c>
      <c r="D87" s="108" t="s">
        <v>1638</v>
      </c>
      <c r="F87" s="108" t="s">
        <v>1697</v>
      </c>
    </row>
    <row r="88" ht="15.0" customHeight="1">
      <c r="A88" s="108" t="s">
        <v>1698</v>
      </c>
      <c r="B88" s="108" t="s">
        <v>1699</v>
      </c>
      <c r="C88" s="108" t="s">
        <v>1700</v>
      </c>
      <c r="D88" s="108" t="s">
        <v>1599</v>
      </c>
      <c r="E88" s="108" t="s">
        <v>1701</v>
      </c>
      <c r="F88" s="108" t="s">
        <v>1702</v>
      </c>
    </row>
    <row r="89" ht="15.0" customHeight="1">
      <c r="A89" s="108" t="s">
        <v>1703</v>
      </c>
      <c r="B89" s="108" t="s">
        <v>1704</v>
      </c>
      <c r="C89" s="108" t="s">
        <v>1705</v>
      </c>
      <c r="D89" s="108" t="s">
        <v>1661</v>
      </c>
      <c r="E89" s="108" t="s">
        <v>1701</v>
      </c>
      <c r="F89" s="108" t="s">
        <v>1706</v>
      </c>
    </row>
    <row r="90" ht="15.0" customHeight="1">
      <c r="A90" s="108" t="s">
        <v>1707</v>
      </c>
      <c r="B90" s="108" t="s">
        <v>1708</v>
      </c>
      <c r="C90" s="108" t="s">
        <v>1709</v>
      </c>
      <c r="D90" s="108" t="s">
        <v>1588</v>
      </c>
      <c r="F90" s="108" t="s">
        <v>1710</v>
      </c>
    </row>
    <row r="91" ht="15.0" customHeight="1">
      <c r="A91" s="108" t="s">
        <v>1711</v>
      </c>
      <c r="B91" s="108" t="s">
        <v>1712</v>
      </c>
      <c r="C91" s="108" t="s">
        <v>1713</v>
      </c>
      <c r="D91" s="108" t="s">
        <v>1599</v>
      </c>
      <c r="E91" s="108" t="s">
        <v>1714</v>
      </c>
      <c r="F91" s="108" t="s">
        <v>1715</v>
      </c>
    </row>
    <row r="92" ht="15.0" customHeight="1">
      <c r="A92" s="108" t="s">
        <v>1716</v>
      </c>
      <c r="B92" s="108" t="s">
        <v>1717</v>
      </c>
      <c r="C92" s="108" t="s">
        <v>1718</v>
      </c>
      <c r="D92" s="108" t="s">
        <v>1588</v>
      </c>
      <c r="F92" s="108" t="s">
        <v>1719</v>
      </c>
    </row>
    <row r="93" ht="15.0" customHeight="1">
      <c r="A93" s="108" t="s">
        <v>1720</v>
      </c>
      <c r="B93" s="108" t="s">
        <v>1721</v>
      </c>
      <c r="C93" s="108" t="s">
        <v>1722</v>
      </c>
      <c r="D93" s="108" t="s">
        <v>1661</v>
      </c>
      <c r="E93" s="108" t="s">
        <v>1714</v>
      </c>
      <c r="F93" s="108" t="s">
        <v>1723</v>
      </c>
    </row>
    <row r="94" ht="15.0" customHeight="1">
      <c r="A94" s="108" t="s">
        <v>1724</v>
      </c>
      <c r="B94" s="108" t="s">
        <v>1725</v>
      </c>
      <c r="C94" s="108" t="s">
        <v>1726</v>
      </c>
      <c r="D94" s="108" t="s">
        <v>1599</v>
      </c>
      <c r="E94" s="108" t="s">
        <v>1727</v>
      </c>
      <c r="F94" s="108" t="s">
        <v>1728</v>
      </c>
    </row>
    <row r="95" ht="15.0" customHeight="1">
      <c r="A95" s="108" t="s">
        <v>1729</v>
      </c>
      <c r="B95" s="108" t="s">
        <v>1730</v>
      </c>
      <c r="C95" s="108" t="s">
        <v>1731</v>
      </c>
      <c r="D95" s="108" t="s">
        <v>1638</v>
      </c>
      <c r="F95" s="108" t="s">
        <v>1732</v>
      </c>
    </row>
    <row r="96" ht="15.0" customHeight="1">
      <c r="A96" s="108" t="s">
        <v>1733</v>
      </c>
      <c r="B96" s="108" t="s">
        <v>1734</v>
      </c>
      <c r="C96" s="108" t="s">
        <v>1735</v>
      </c>
      <c r="D96" s="108" t="s">
        <v>1588</v>
      </c>
      <c r="F96" s="108" t="s">
        <v>1736</v>
      </c>
    </row>
    <row r="97" ht="15.0" customHeight="1">
      <c r="A97" s="108" t="s">
        <v>1737</v>
      </c>
      <c r="B97" s="108" t="s">
        <v>1738</v>
      </c>
      <c r="C97" s="108" t="s">
        <v>1739</v>
      </c>
      <c r="D97" s="108" t="s">
        <v>1599</v>
      </c>
      <c r="E97" s="108" t="s">
        <v>1740</v>
      </c>
      <c r="F97" s="108" t="s">
        <v>1741</v>
      </c>
    </row>
    <row r="98" ht="15.0" customHeight="1">
      <c r="A98" s="108" t="s">
        <v>1742</v>
      </c>
      <c r="B98" s="108" t="s">
        <v>1743</v>
      </c>
      <c r="C98" s="108" t="s">
        <v>1744</v>
      </c>
      <c r="D98" s="108" t="s">
        <v>1599</v>
      </c>
      <c r="E98" s="108" t="s">
        <v>1745</v>
      </c>
      <c r="F98" s="108" t="s">
        <v>1746</v>
      </c>
    </row>
    <row r="99" ht="15.0" customHeight="1">
      <c r="A99" s="108" t="s">
        <v>1747</v>
      </c>
      <c r="B99" s="108" t="s">
        <v>1748</v>
      </c>
      <c r="C99" s="108" t="s">
        <v>1749</v>
      </c>
      <c r="D99" s="108" t="s">
        <v>1661</v>
      </c>
      <c r="E99" s="108" t="s">
        <v>1745</v>
      </c>
      <c r="F99" s="108" t="s">
        <v>1750</v>
      </c>
    </row>
    <row r="100" ht="15.0" customHeight="1">
      <c r="A100" s="108" t="s">
        <v>1751</v>
      </c>
      <c r="B100" s="108" t="s">
        <v>1752</v>
      </c>
      <c r="C100" s="108" t="s">
        <v>1753</v>
      </c>
      <c r="D100" s="108" t="s">
        <v>1638</v>
      </c>
      <c r="F100" s="108" t="s">
        <v>1754</v>
      </c>
    </row>
    <row r="101" ht="15.0" customHeight="1">
      <c r="A101" s="108" t="s">
        <v>1755</v>
      </c>
      <c r="B101" s="108" t="s">
        <v>1756</v>
      </c>
      <c r="C101" s="108" t="s">
        <v>31</v>
      </c>
      <c r="D101" s="108" t="s">
        <v>1588</v>
      </c>
      <c r="F101" s="108" t="s">
        <v>1757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C5"/>
    <hyperlink r:id="rId2" ref="C6"/>
    <hyperlink r:id="rId3" ref="C7"/>
    <hyperlink r:id="rId4" ref="C8"/>
    <hyperlink r:id="rId5" ref="C9"/>
    <hyperlink r:id="rId6" ref="C10"/>
    <hyperlink r:id="rId7" ref="C11"/>
    <hyperlink r:id="rId8" ref="C12"/>
    <hyperlink r:id="rId9" ref="C13"/>
    <hyperlink r:id="rId10" ref="C14"/>
    <hyperlink r:id="rId11" ref="C57"/>
    <hyperlink r:id="rId12" ref="C58"/>
    <hyperlink r:id="rId13" ref="C59"/>
    <hyperlink r:id="rId14" ref="C60"/>
    <hyperlink r:id="rId15" ref="C61"/>
  </hyperlinks>
  <printOptions/>
  <pageMargins bottom="1.0" footer="0.0" header="0.0" left="0.75" right="0.75" top="1.0"/>
  <pageSetup paperSize="9" orientation="portrait"/>
  <drawing r:id="rId16"/>
</worksheet>
</file>